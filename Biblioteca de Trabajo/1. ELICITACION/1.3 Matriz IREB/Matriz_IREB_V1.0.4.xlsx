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2.xml" ContentType="application/vnd.openxmlformats-officedocument.spreadsheetml.comments+xml"/>
  <Override PartName="/xl/charts/chart1.xml" ContentType="application/vnd.openxmlformats-officedocument.drawingml.chart+xml"/>
  <Override PartName="/xl/drawings/drawing2.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omments3.xml" ContentType="application/vnd.openxmlformats-officedocument.spreadsheetml.comments+xml"/>
  <Override PartName="/xl/charts/chart2.xml" ContentType="application/vnd.openxmlformats-officedocument.drawingml.chart+xml"/>
  <Override PartName="/xl/drawings/drawing3.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omments4.xml" ContentType="application/vnd.openxmlformats-officedocument.spreadsheetml.comments+xml"/>
  <Override PartName="/xl/charts/chart3.xml" ContentType="application/vnd.openxmlformats-officedocument.drawingml.chart+xml"/>
  <Override PartName="/xl/drawings/drawing4.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comments5.xml" ContentType="application/vnd.openxmlformats-officedocument.spreadsheetml.comments+xml"/>
  <Override PartName="/xl/charts/chart4.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6"/>
  <workbookPr defaultThemeVersion="124226"/>
  <mc:AlternateContent xmlns:mc="http://schemas.openxmlformats.org/markup-compatibility/2006">
    <mc:Choice Requires="x15">
      <x15ac:absPath xmlns:x15ac="http://schemas.microsoft.com/office/spreadsheetml/2010/11/ac" url="https://uespe-my.sharepoint.com/personal/adguevara7_espe_edu_ec/Documents/Analisis y Diseño de software/"/>
    </mc:Choice>
  </mc:AlternateContent>
  <xr:revisionPtr revIDLastSave="0" documentId="8_{53AF6ED3-F1D0-4327-9C93-F006678D116D}" xr6:coauthVersionLast="47" xr6:coauthVersionMax="47" xr10:uidLastSave="{00000000-0000-0000-0000-000000000000}"/>
  <bookViews>
    <workbookView xWindow="-108" yWindow="-108" windowWidth="23256" windowHeight="12456" firstSheet="1" activeTab="5" xr2:uid="{00000000-000D-0000-FFFF-FFFF00000000}"/>
  </bookViews>
  <sheets>
    <sheet name="Matriz Ckeck LIst" sheetId="19" r:id="rId1"/>
    <sheet name="MODELO LISTA DE COMPROBACION" sheetId="20" r:id="rId2"/>
    <sheet name="MODELO LISTA DE COMPROBACIO (2)" sheetId="22" r:id="rId3"/>
    <sheet name="MODELO LISTA DE COMPROBACIO (3)" sheetId="23" r:id="rId4"/>
    <sheet name="MODELO LISTA DE COMPROBACIO (4)" sheetId="24" r:id="rId5"/>
    <sheet name="RECOMENDACIONES" sheetId="21" r:id="rId6"/>
  </sheets>
  <definedNames>
    <definedName name="_xlnm._FilterDatabase" localSheetId="0" hidden="1">'Matriz Ckeck LIst'!$B$7:$G$19</definedName>
    <definedName name="_xlnm.Print_Area" localSheetId="0">'Matriz Ckeck LIst'!$B$1:$J$19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5" i="24" l="1"/>
  <c r="D36" i="24" s="1"/>
  <c r="C35" i="24"/>
  <c r="C36" i="24" s="1"/>
  <c r="D27" i="24"/>
  <c r="D28" i="24" s="1"/>
  <c r="C27" i="24"/>
  <c r="C28" i="24" s="1"/>
  <c r="D17" i="24"/>
  <c r="D18" i="24" s="1"/>
  <c r="C17" i="24"/>
  <c r="C18" i="24" s="1"/>
  <c r="D35" i="23"/>
  <c r="D36" i="23" s="1"/>
  <c r="C35" i="23"/>
  <c r="C36" i="23" s="1"/>
  <c r="D27" i="23"/>
  <c r="D28" i="23" s="1"/>
  <c r="C27" i="23"/>
  <c r="C28" i="23" s="1"/>
  <c r="D17" i="23"/>
  <c r="D18" i="23" s="1"/>
  <c r="C17" i="23"/>
  <c r="C18" i="23" s="1"/>
  <c r="D35" i="22"/>
  <c r="D36" i="22" s="1"/>
  <c r="C35" i="22"/>
  <c r="C36" i="22" s="1"/>
  <c r="D27" i="22"/>
  <c r="D28" i="22" s="1"/>
  <c r="C27" i="22"/>
  <c r="C28" i="22" s="1"/>
  <c r="D17" i="22"/>
  <c r="D18" i="22" s="1"/>
  <c r="C17" i="22"/>
  <c r="C18" i="22" s="1"/>
  <c r="D35" i="20"/>
  <c r="D36" i="20" s="1"/>
  <c r="C35" i="20"/>
  <c r="C36" i="20" s="1"/>
  <c r="D27" i="20"/>
  <c r="D28" i="20" s="1"/>
  <c r="C27" i="20"/>
  <c r="C28" i="20" s="1"/>
  <c r="D17" i="20"/>
  <c r="D18" i="20" s="1"/>
  <c r="C17" i="20"/>
  <c r="C18" i="2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jeny ruiz</author>
  </authors>
  <commentList>
    <comment ref="E7" authorId="0" shapeId="0" xr:uid="{00000000-0006-0000-0000-000001000000}">
      <text>
        <r>
          <rPr>
            <b/>
            <sz val="9"/>
            <color indexed="81"/>
            <rFont val="Tahoma"/>
            <family val="2"/>
          </rPr>
          <t>jeny ruiz:</t>
        </r>
        <r>
          <rPr>
            <sz val="9"/>
            <color indexed="81"/>
            <rFont val="Tahoma"/>
            <family val="2"/>
          </rPr>
          <t xml:space="preserve">
Control del nivel de acuedo entre las partes Cliente y Desarrollador</t>
        </r>
      </text>
    </comment>
    <comment ref="F7" authorId="0" shapeId="0" xr:uid="{00000000-0006-0000-0000-000002000000}">
      <text>
        <r>
          <rPr>
            <b/>
            <sz val="9"/>
            <color indexed="81"/>
            <rFont val="Tahoma"/>
            <charset val="1"/>
          </rPr>
          <t>jeny ruiz:</t>
        </r>
        <r>
          <rPr>
            <sz val="9"/>
            <color indexed="81"/>
            <rFont val="Tahoma"/>
            <charset val="1"/>
          </rPr>
          <t xml:space="preserve">
La información contenida en memoria se utiliza para actualizar los campos de la base de datos.</t>
        </r>
      </text>
    </comment>
    <comment ref="H7" authorId="0" shapeId="0" xr:uid="{00000000-0006-0000-0000-000003000000}">
      <text>
        <r>
          <rPr>
            <b/>
            <sz val="9"/>
            <color indexed="81"/>
            <rFont val="Tahoma"/>
            <charset val="1"/>
          </rPr>
          <t>jeny ruiz:</t>
        </r>
        <r>
          <rPr>
            <sz val="9"/>
            <color indexed="81"/>
            <rFont val="Tahoma"/>
            <charset val="1"/>
          </rPr>
          <t xml:space="preserve">
Se guarda en un archivo Excel los registros que dieron un problema en la actualización.</t>
        </r>
      </text>
    </comment>
    <comment ref="I7" authorId="0" shapeId="0" xr:uid="{00000000-0006-0000-0000-000004000000}">
      <text>
        <r>
          <rPr>
            <b/>
            <sz val="9"/>
            <color indexed="81"/>
            <rFont val="Tahoma"/>
            <charset val="1"/>
          </rPr>
          <t>jeny ruiz:</t>
        </r>
        <r>
          <rPr>
            <sz val="9"/>
            <color indexed="81"/>
            <rFont val="Tahoma"/>
            <charset val="1"/>
          </rPr>
          <t xml:space="preserve">
jeny ruiz:
Posterior a la actualización, se guardaran automáticamente el nombre de usuario, fecha, hora, registro antiguo, registro nuevo.</t>
        </r>
      </text>
    </comment>
    <comment ref="C9" authorId="0" shapeId="0" xr:uid="{00000000-0006-0000-0000-000006000000}">
      <text>
        <r>
          <rPr>
            <b/>
            <sz val="9"/>
            <color indexed="81"/>
            <rFont val="Tahoma"/>
            <family val="2"/>
          </rPr>
          <t>jeny ruiz:</t>
        </r>
        <r>
          <rPr>
            <sz val="9"/>
            <color indexed="81"/>
            <rFont val="Tahoma"/>
            <family val="2"/>
          </rPr>
          <t xml:space="preserve">
Todos los interesados reconocen que el  requisito es correcto y relevante
</t>
        </r>
      </text>
    </comment>
    <comment ref="F9" authorId="0" shapeId="0" xr:uid="{00000000-0006-0000-0000-000007000000}">
      <text>
        <r>
          <rPr>
            <b/>
            <sz val="9"/>
            <color indexed="81"/>
            <rFont val="Tahoma"/>
            <charset val="1"/>
          </rPr>
          <t>jeny ruiz:</t>
        </r>
        <r>
          <rPr>
            <sz val="9"/>
            <color indexed="81"/>
            <rFont val="Tahoma"/>
            <charset val="1"/>
          </rPr>
          <t xml:space="preserve">
Es importante ingresar el archivo plano en formato excel para el cliente y el desarrollador</t>
        </r>
      </text>
    </comment>
    <comment ref="H9" authorId="0" shapeId="0" xr:uid="{00000000-0006-0000-0000-000008000000}">
      <text>
        <r>
          <rPr>
            <b/>
            <sz val="9"/>
            <color indexed="81"/>
            <rFont val="Tahoma"/>
            <charset val="1"/>
          </rPr>
          <t>jeny ruiz:</t>
        </r>
        <r>
          <rPr>
            <sz val="9"/>
            <color indexed="81"/>
            <rFont val="Tahoma"/>
            <charset val="1"/>
          </rPr>
          <t xml:space="preserve">
Es importante ingresar el archivo plano en formato excel para el cliente y el desarrollador</t>
        </r>
      </text>
    </comment>
    <comment ref="I9" authorId="0" shapeId="0" xr:uid="{00000000-0006-0000-0000-000009000000}">
      <text>
        <r>
          <rPr>
            <b/>
            <sz val="9"/>
            <color indexed="81"/>
            <rFont val="Tahoma"/>
            <charset val="1"/>
          </rPr>
          <t>jeny ruiz:</t>
        </r>
        <r>
          <rPr>
            <sz val="9"/>
            <color indexed="81"/>
            <rFont val="Tahoma"/>
            <charset val="1"/>
          </rPr>
          <t xml:space="preserve">
Es importante ingresar el archivo plano en formato excel para el cliente y el desarrollador</t>
        </r>
      </text>
    </comment>
    <comment ref="C10" authorId="0" shapeId="0" xr:uid="{00000000-0006-0000-0000-00000B000000}">
      <text>
        <r>
          <rPr>
            <b/>
            <sz val="9"/>
            <color indexed="81"/>
            <rFont val="Tahoma"/>
            <family val="2"/>
          </rPr>
          <t>jeny ruiz:</t>
        </r>
        <r>
          <rPr>
            <sz val="9"/>
            <color indexed="81"/>
            <rFont val="Tahoma"/>
            <family val="2"/>
          </rPr>
          <t xml:space="preserve">
Ponderado por importancia o prioridad</t>
        </r>
      </text>
    </comment>
    <comment ref="C11" authorId="0" shapeId="0" xr:uid="{00000000-0006-0000-0000-00000C000000}">
      <text>
        <r>
          <rPr>
            <b/>
            <sz val="9"/>
            <color indexed="81"/>
            <rFont val="Tahoma"/>
            <family val="2"/>
          </rPr>
          <t>jeny ruiz:</t>
        </r>
        <r>
          <rPr>
            <sz val="9"/>
            <color indexed="81"/>
            <rFont val="Tahoma"/>
            <family val="2"/>
          </rPr>
          <t xml:space="preserve">
Todos los lectores comprenden de la misma manera, sólo una interpretación</t>
        </r>
      </text>
    </comment>
    <comment ref="C12" authorId="0" shapeId="0" xr:uid="{00000000-0006-0000-0000-00000D000000}">
      <text>
        <r>
          <rPr>
            <b/>
            <sz val="9"/>
            <color indexed="81"/>
            <rFont val="Tahoma"/>
            <family val="2"/>
          </rPr>
          <t>jeny ruiz:</t>
        </r>
        <r>
          <rPr>
            <sz val="9"/>
            <color indexed="81"/>
            <rFont val="Tahoma"/>
            <family val="2"/>
          </rPr>
          <t xml:space="preserve">
Toda nueva información  ha sido incorporada</t>
        </r>
      </text>
    </comment>
    <comment ref="C13" authorId="0" shapeId="0" xr:uid="{00000000-0006-0000-0000-00000E000000}">
      <text>
        <r>
          <rPr>
            <b/>
            <sz val="9"/>
            <color indexed="81"/>
            <rFont val="Tahoma"/>
            <family val="2"/>
          </rPr>
          <t>jeny ruiz:</t>
        </r>
        <r>
          <rPr>
            <sz val="9"/>
            <color indexed="81"/>
            <rFont val="Tahoma"/>
            <family val="2"/>
          </rPr>
          <t xml:space="preserve">
Refleja las espectativas  del implicado
</t>
        </r>
      </text>
    </comment>
    <comment ref="C14" authorId="0" shapeId="0" xr:uid="{00000000-0006-0000-0000-00000F000000}">
      <text>
        <r>
          <rPr>
            <b/>
            <sz val="9"/>
            <color indexed="81"/>
            <rFont val="Tahoma"/>
            <family val="2"/>
          </rPr>
          <t>jeny ruiz:</t>
        </r>
        <r>
          <rPr>
            <sz val="9"/>
            <color indexed="81"/>
            <rFont val="Tahoma"/>
            <family val="2"/>
          </rPr>
          <t xml:space="preserve">
Sin contradicciones
</t>
        </r>
      </text>
    </comment>
    <comment ref="C15" authorId="0" shapeId="0" xr:uid="{00000000-0006-0000-0000-000010000000}">
      <text>
        <r>
          <rPr>
            <b/>
            <sz val="9"/>
            <color indexed="81"/>
            <rFont val="Tahoma"/>
            <family val="2"/>
          </rPr>
          <t>jeny ruiz:</t>
        </r>
        <r>
          <rPr>
            <sz val="9"/>
            <color indexed="81"/>
            <rFont val="Tahoma"/>
            <family val="2"/>
          </rPr>
          <t xml:space="preserve">
Su cumplimiento o no cumplimiento puede der probado con un esfuerzo razonable</t>
        </r>
      </text>
    </comment>
    <comment ref="C16" authorId="0" shapeId="0" xr:uid="{00000000-0006-0000-0000-000011000000}">
      <text>
        <r>
          <rPr>
            <b/>
            <sz val="9"/>
            <color indexed="81"/>
            <rFont val="Tahoma"/>
            <family val="2"/>
          </rPr>
          <t>jeny ruiz:</t>
        </r>
        <r>
          <rPr>
            <sz val="9"/>
            <color indexed="81"/>
            <rFont val="Tahoma"/>
            <family val="2"/>
          </rPr>
          <t xml:space="preserve">
Puede ser implementado  y desarrollado en las condiciones actuales(tiempo, Presupuest,, orgtanizaciòn, ect)</t>
        </r>
      </text>
    </comment>
    <comment ref="C17" authorId="0" shapeId="0" xr:uid="{00000000-0006-0000-0000-000012000000}">
      <text>
        <r>
          <rPr>
            <b/>
            <sz val="9"/>
            <color indexed="81"/>
            <rFont val="Tahoma"/>
            <family val="2"/>
          </rPr>
          <t>jeny ruiz:</t>
        </r>
        <r>
          <rPr>
            <sz val="9"/>
            <color indexed="81"/>
            <rFont val="Tahoma"/>
            <family val="2"/>
          </rPr>
          <t xml:space="preserve">
El origen del requisito y sus relaciones con otros requisitos  están claros.</t>
        </r>
      </text>
    </comment>
    <comment ref="C18" authorId="0" shapeId="0" xr:uid="{00000000-0006-0000-0000-000013000000}">
      <text>
        <r>
          <rPr>
            <b/>
            <sz val="9"/>
            <color indexed="81"/>
            <rFont val="Tahoma"/>
            <family val="2"/>
          </rPr>
          <t>jeny ruiz:</t>
        </r>
        <r>
          <rPr>
            <sz val="9"/>
            <color indexed="81"/>
            <rFont val="Tahoma"/>
            <family val="2"/>
          </rPr>
          <t xml:space="preserve">
Trata todos los asuntos relevantes</t>
        </r>
      </text>
    </comment>
    <comment ref="C19" authorId="0" shapeId="0" xr:uid="{00000000-0006-0000-0000-000014000000}">
      <text>
        <r>
          <rPr>
            <b/>
            <sz val="9"/>
            <color indexed="81"/>
            <rFont val="Tahoma"/>
            <family val="2"/>
          </rPr>
          <t>jeny ruiz:</t>
        </r>
        <r>
          <rPr>
            <sz val="9"/>
            <color indexed="81"/>
            <rFont val="Tahoma"/>
            <family val="2"/>
          </rPr>
          <t xml:space="preserve">
Para todos los interesados dependiendo  de la fase del proyecto podrían estar involucrados  distintos implicados,(Glosario de tèrminos)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ESPE</author>
  </authors>
  <commentList>
    <comment ref="B8" authorId="0" shapeId="0" xr:uid="{00000000-0006-0000-0100-000001000000}">
      <text>
        <r>
          <rPr>
            <b/>
            <sz val="9"/>
            <color indexed="81"/>
            <rFont val="Tahoma"/>
            <family val="2"/>
          </rPr>
          <t>ESPE:</t>
        </r>
        <r>
          <rPr>
            <sz val="9"/>
            <color indexed="81"/>
            <rFont val="Tahoma"/>
            <family val="2"/>
          </rPr>
          <t xml:space="preserve">
COMPLETITUD DOCUMENTO</t>
        </r>
      </text>
    </comment>
    <comment ref="B9" authorId="0" shapeId="0" xr:uid="{00000000-0006-0000-0100-000002000000}">
      <text>
        <r>
          <rPr>
            <b/>
            <sz val="9"/>
            <color indexed="81"/>
            <rFont val="Tahoma"/>
            <family val="2"/>
          </rPr>
          <t>ESPE:</t>
        </r>
        <r>
          <rPr>
            <sz val="9"/>
            <color indexed="81"/>
            <rFont val="Tahoma"/>
            <family val="2"/>
          </rPr>
          <t xml:space="preserve">
COMPLETITUD REQUISITO INDIVIDUAL
</t>
        </r>
      </text>
    </comment>
    <comment ref="B10" authorId="0" shapeId="0" xr:uid="{00000000-0006-0000-0100-000003000000}">
      <text>
        <r>
          <rPr>
            <b/>
            <sz val="9"/>
            <color indexed="81"/>
            <rFont val="Tahoma"/>
            <family val="2"/>
          </rPr>
          <t>ESPE:</t>
        </r>
        <r>
          <rPr>
            <sz val="9"/>
            <color indexed="81"/>
            <rFont val="Tahoma"/>
            <family val="2"/>
          </rPr>
          <t xml:space="preserve">
TRAZABILIDAD</t>
        </r>
      </text>
    </comment>
    <comment ref="B11" authorId="0" shapeId="0" xr:uid="{00000000-0006-0000-0100-000004000000}">
      <text>
        <r>
          <rPr>
            <b/>
            <sz val="9"/>
            <color indexed="81"/>
            <rFont val="Tahoma"/>
            <family val="2"/>
          </rPr>
          <t>ESPE:</t>
        </r>
        <r>
          <rPr>
            <sz val="9"/>
            <color indexed="81"/>
            <rFont val="Tahoma"/>
            <family val="2"/>
          </rPr>
          <t xml:space="preserve">
trazabilidad
</t>
        </r>
      </text>
    </comment>
    <comment ref="B12" authorId="0" shapeId="0" xr:uid="{00000000-0006-0000-0100-000005000000}">
      <text>
        <r>
          <rPr>
            <b/>
            <sz val="9"/>
            <color indexed="81"/>
            <rFont val="Tahoma"/>
            <family val="2"/>
          </rPr>
          <t>ESPE:</t>
        </r>
        <r>
          <rPr>
            <sz val="9"/>
            <color indexed="81"/>
            <rFont val="Tahoma"/>
            <family val="2"/>
          </rPr>
          <t xml:space="preserve">
TRAZABILIDAD
</t>
        </r>
      </text>
    </comment>
    <comment ref="B13" authorId="0" shapeId="0" xr:uid="{00000000-0006-0000-0100-000006000000}">
      <text>
        <r>
          <rPr>
            <b/>
            <sz val="9"/>
            <color indexed="81"/>
            <rFont val="Tahoma"/>
            <family val="2"/>
          </rPr>
          <t>ESPE:</t>
        </r>
        <r>
          <rPr>
            <sz val="9"/>
            <color indexed="81"/>
            <rFont val="Tahoma"/>
            <family val="2"/>
          </rPr>
          <t xml:space="preserve">
CORRECCION
</t>
        </r>
      </text>
    </comment>
    <comment ref="B14" authorId="0" shapeId="0" xr:uid="{00000000-0006-0000-0100-000007000000}">
      <text>
        <r>
          <rPr>
            <b/>
            <sz val="9"/>
            <color indexed="81"/>
            <rFont val="Tahoma"/>
            <family val="2"/>
          </rPr>
          <t>ESPE:</t>
        </r>
        <r>
          <rPr>
            <sz val="9"/>
            <color indexed="81"/>
            <rFont val="Tahoma"/>
            <family val="2"/>
          </rPr>
          <t xml:space="preserve">
CONSISTENCIA</t>
        </r>
      </text>
    </comment>
    <comment ref="B15" authorId="0" shapeId="0" xr:uid="{00000000-0006-0000-0100-000008000000}">
      <text>
        <r>
          <rPr>
            <b/>
            <sz val="9"/>
            <color indexed="81"/>
            <rFont val="Tahoma"/>
            <family val="2"/>
          </rPr>
          <t>ESPE:</t>
        </r>
        <r>
          <rPr>
            <sz val="9"/>
            <color indexed="81"/>
            <rFont val="Tahoma"/>
            <family val="2"/>
          </rPr>
          <t xml:space="preserve">
NECESIDAD
</t>
        </r>
      </text>
    </comment>
    <comment ref="B16" authorId="0" shapeId="0" xr:uid="{00000000-0006-0000-0100-000009000000}">
      <text>
        <r>
          <rPr>
            <b/>
            <sz val="9"/>
            <color indexed="81"/>
            <rFont val="Tahoma"/>
            <family val="2"/>
          </rPr>
          <t>ESPE:</t>
        </r>
        <r>
          <rPr>
            <sz val="9"/>
            <color indexed="81"/>
            <rFont val="Tahoma"/>
            <family val="2"/>
          </rPr>
          <t xml:space="preserve">
verificable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ESPE</author>
  </authors>
  <commentList>
    <comment ref="B8" authorId="0" shapeId="0" xr:uid="{C680B283-02E9-4FA5-AED5-36750C254A0C}">
      <text>
        <r>
          <rPr>
            <b/>
            <sz val="9"/>
            <color indexed="81"/>
            <rFont val="Tahoma"/>
            <family val="2"/>
          </rPr>
          <t>ESPE:</t>
        </r>
        <r>
          <rPr>
            <sz val="9"/>
            <color indexed="81"/>
            <rFont val="Tahoma"/>
            <family val="2"/>
          </rPr>
          <t xml:space="preserve">
COMPLETITUD DOCUMENTO</t>
        </r>
      </text>
    </comment>
    <comment ref="B9" authorId="0" shapeId="0" xr:uid="{F95E9E9C-629E-4CB9-BAE7-3100B3E2D5DD}">
      <text>
        <r>
          <rPr>
            <b/>
            <sz val="9"/>
            <color indexed="81"/>
            <rFont val="Tahoma"/>
            <family val="2"/>
          </rPr>
          <t>ESPE:</t>
        </r>
        <r>
          <rPr>
            <sz val="9"/>
            <color indexed="81"/>
            <rFont val="Tahoma"/>
            <family val="2"/>
          </rPr>
          <t xml:space="preserve">
COMPLETITUD REQUISITO INDIVIDUAL
</t>
        </r>
      </text>
    </comment>
    <comment ref="B10" authorId="0" shapeId="0" xr:uid="{5D450B29-543E-46B9-B2AE-96CDEF7132EE}">
      <text>
        <r>
          <rPr>
            <b/>
            <sz val="9"/>
            <color indexed="81"/>
            <rFont val="Tahoma"/>
            <family val="2"/>
          </rPr>
          <t>ESPE:</t>
        </r>
        <r>
          <rPr>
            <sz val="9"/>
            <color indexed="81"/>
            <rFont val="Tahoma"/>
            <family val="2"/>
          </rPr>
          <t xml:space="preserve">
TRAZABILIDAD</t>
        </r>
      </text>
    </comment>
    <comment ref="B11" authorId="0" shapeId="0" xr:uid="{187210D6-0593-4C93-B249-E27990D6AEF4}">
      <text>
        <r>
          <rPr>
            <b/>
            <sz val="9"/>
            <color indexed="81"/>
            <rFont val="Tahoma"/>
            <family val="2"/>
          </rPr>
          <t>ESPE:</t>
        </r>
        <r>
          <rPr>
            <sz val="9"/>
            <color indexed="81"/>
            <rFont val="Tahoma"/>
            <family val="2"/>
          </rPr>
          <t xml:space="preserve">
trazabilidad
</t>
        </r>
      </text>
    </comment>
    <comment ref="B12" authorId="0" shapeId="0" xr:uid="{1D685E45-3271-465B-A02D-158365A455BB}">
      <text>
        <r>
          <rPr>
            <b/>
            <sz val="9"/>
            <color indexed="81"/>
            <rFont val="Tahoma"/>
            <family val="2"/>
          </rPr>
          <t>ESPE:</t>
        </r>
        <r>
          <rPr>
            <sz val="9"/>
            <color indexed="81"/>
            <rFont val="Tahoma"/>
            <family val="2"/>
          </rPr>
          <t xml:space="preserve">
TRAZABILIDAD
</t>
        </r>
      </text>
    </comment>
    <comment ref="B13" authorId="0" shapeId="0" xr:uid="{013C51AB-523B-4EB3-A19C-7D0A19A1756F}">
      <text>
        <r>
          <rPr>
            <b/>
            <sz val="9"/>
            <color indexed="81"/>
            <rFont val="Tahoma"/>
            <family val="2"/>
          </rPr>
          <t>ESPE:</t>
        </r>
        <r>
          <rPr>
            <sz val="9"/>
            <color indexed="81"/>
            <rFont val="Tahoma"/>
            <family val="2"/>
          </rPr>
          <t xml:space="preserve">
CORRECCION
</t>
        </r>
      </text>
    </comment>
    <comment ref="B14" authorId="0" shapeId="0" xr:uid="{CD6B895C-363B-41F2-843F-C2E42836F9AE}">
      <text>
        <r>
          <rPr>
            <b/>
            <sz val="9"/>
            <color indexed="81"/>
            <rFont val="Tahoma"/>
            <family val="2"/>
          </rPr>
          <t>ESPE:</t>
        </r>
        <r>
          <rPr>
            <sz val="9"/>
            <color indexed="81"/>
            <rFont val="Tahoma"/>
            <family val="2"/>
          </rPr>
          <t xml:space="preserve">
CONSISTENCIA</t>
        </r>
      </text>
    </comment>
    <comment ref="B15" authorId="0" shapeId="0" xr:uid="{6189C956-FD08-49C7-A94E-A4EB37C862CC}">
      <text>
        <r>
          <rPr>
            <b/>
            <sz val="9"/>
            <color indexed="81"/>
            <rFont val="Tahoma"/>
            <family val="2"/>
          </rPr>
          <t>ESPE:</t>
        </r>
        <r>
          <rPr>
            <sz val="9"/>
            <color indexed="81"/>
            <rFont val="Tahoma"/>
            <family val="2"/>
          </rPr>
          <t xml:space="preserve">
NECESIDAD
</t>
        </r>
      </text>
    </comment>
    <comment ref="B16" authorId="0" shapeId="0" xr:uid="{3620C9D2-1A14-4A49-B80C-B28B2230E74E}">
      <text>
        <r>
          <rPr>
            <b/>
            <sz val="9"/>
            <color indexed="81"/>
            <rFont val="Tahoma"/>
            <family val="2"/>
          </rPr>
          <t>ESPE:</t>
        </r>
        <r>
          <rPr>
            <sz val="9"/>
            <color indexed="81"/>
            <rFont val="Tahoma"/>
            <family val="2"/>
          </rPr>
          <t xml:space="preserve">
verificable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ESPE</author>
  </authors>
  <commentList>
    <comment ref="B8" authorId="0" shapeId="0" xr:uid="{128A12DC-4E45-4042-8FE4-1E918824FE04}">
      <text>
        <r>
          <rPr>
            <b/>
            <sz val="9"/>
            <color indexed="81"/>
            <rFont val="Tahoma"/>
            <family val="2"/>
          </rPr>
          <t>ESPE:</t>
        </r>
        <r>
          <rPr>
            <sz val="9"/>
            <color indexed="81"/>
            <rFont val="Tahoma"/>
            <family val="2"/>
          </rPr>
          <t xml:space="preserve">
COMPLETITUD DOCUMENTO</t>
        </r>
      </text>
    </comment>
    <comment ref="B9" authorId="0" shapeId="0" xr:uid="{1BA09CFA-8A6E-4F96-BBA4-791533E531E0}">
      <text>
        <r>
          <rPr>
            <b/>
            <sz val="9"/>
            <color indexed="81"/>
            <rFont val="Tahoma"/>
            <family val="2"/>
          </rPr>
          <t>ESPE:</t>
        </r>
        <r>
          <rPr>
            <sz val="9"/>
            <color indexed="81"/>
            <rFont val="Tahoma"/>
            <family val="2"/>
          </rPr>
          <t xml:space="preserve">
COMPLETITUD REQUISITO INDIVIDUAL
</t>
        </r>
      </text>
    </comment>
    <comment ref="B10" authorId="0" shapeId="0" xr:uid="{E843710A-8C85-464D-AB8C-0D326F5DD34F}">
      <text>
        <r>
          <rPr>
            <b/>
            <sz val="9"/>
            <color indexed="81"/>
            <rFont val="Tahoma"/>
            <family val="2"/>
          </rPr>
          <t>ESPE:</t>
        </r>
        <r>
          <rPr>
            <sz val="9"/>
            <color indexed="81"/>
            <rFont val="Tahoma"/>
            <family val="2"/>
          </rPr>
          <t xml:space="preserve">
TRAZABILIDAD</t>
        </r>
      </text>
    </comment>
    <comment ref="B11" authorId="0" shapeId="0" xr:uid="{05EBFCB5-68F0-4192-895A-DCA6322FC1C5}">
      <text>
        <r>
          <rPr>
            <b/>
            <sz val="9"/>
            <color indexed="81"/>
            <rFont val="Tahoma"/>
            <family val="2"/>
          </rPr>
          <t>ESPE:</t>
        </r>
        <r>
          <rPr>
            <sz val="9"/>
            <color indexed="81"/>
            <rFont val="Tahoma"/>
            <family val="2"/>
          </rPr>
          <t xml:space="preserve">
trazabilidad
</t>
        </r>
      </text>
    </comment>
    <comment ref="B12" authorId="0" shapeId="0" xr:uid="{6C2317D8-851F-4F3D-80A2-07F0511C4097}">
      <text>
        <r>
          <rPr>
            <b/>
            <sz val="9"/>
            <color indexed="81"/>
            <rFont val="Tahoma"/>
            <family val="2"/>
          </rPr>
          <t>ESPE:</t>
        </r>
        <r>
          <rPr>
            <sz val="9"/>
            <color indexed="81"/>
            <rFont val="Tahoma"/>
            <family val="2"/>
          </rPr>
          <t xml:space="preserve">
TRAZABILIDAD
</t>
        </r>
      </text>
    </comment>
    <comment ref="B13" authorId="0" shapeId="0" xr:uid="{A05D8E81-5B99-4A5B-82BA-3352555208C2}">
      <text>
        <r>
          <rPr>
            <b/>
            <sz val="9"/>
            <color indexed="81"/>
            <rFont val="Tahoma"/>
            <family val="2"/>
          </rPr>
          <t>ESPE:</t>
        </r>
        <r>
          <rPr>
            <sz val="9"/>
            <color indexed="81"/>
            <rFont val="Tahoma"/>
            <family val="2"/>
          </rPr>
          <t xml:space="preserve">
CORRECCION
</t>
        </r>
      </text>
    </comment>
    <comment ref="B14" authorId="0" shapeId="0" xr:uid="{85FD473F-BB31-4E4B-AADC-39439C7EE8F7}">
      <text>
        <r>
          <rPr>
            <b/>
            <sz val="9"/>
            <color indexed="81"/>
            <rFont val="Tahoma"/>
            <family val="2"/>
          </rPr>
          <t>ESPE:</t>
        </r>
        <r>
          <rPr>
            <sz val="9"/>
            <color indexed="81"/>
            <rFont val="Tahoma"/>
            <family val="2"/>
          </rPr>
          <t xml:space="preserve">
CONSISTENCIA</t>
        </r>
      </text>
    </comment>
    <comment ref="B15" authorId="0" shapeId="0" xr:uid="{BB72E1C4-E0E7-4866-9CBE-BBF75115FD31}">
      <text>
        <r>
          <rPr>
            <b/>
            <sz val="9"/>
            <color indexed="81"/>
            <rFont val="Tahoma"/>
            <family val="2"/>
          </rPr>
          <t>ESPE:</t>
        </r>
        <r>
          <rPr>
            <sz val="9"/>
            <color indexed="81"/>
            <rFont val="Tahoma"/>
            <family val="2"/>
          </rPr>
          <t xml:space="preserve">
NECESIDAD
</t>
        </r>
      </text>
    </comment>
    <comment ref="B16" authorId="0" shapeId="0" xr:uid="{E8856786-4466-4435-8A87-75996DEEEC86}">
      <text>
        <r>
          <rPr>
            <b/>
            <sz val="9"/>
            <color indexed="81"/>
            <rFont val="Tahoma"/>
            <family val="2"/>
          </rPr>
          <t>ESPE:</t>
        </r>
        <r>
          <rPr>
            <sz val="9"/>
            <color indexed="81"/>
            <rFont val="Tahoma"/>
            <family val="2"/>
          </rPr>
          <t xml:space="preserve">
verificable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ESPE</author>
  </authors>
  <commentList>
    <comment ref="B8" authorId="0" shapeId="0" xr:uid="{395E29EF-EFA2-44C3-8A61-6CACA61705A3}">
      <text>
        <r>
          <rPr>
            <b/>
            <sz val="9"/>
            <color indexed="81"/>
            <rFont val="Tahoma"/>
            <family val="2"/>
          </rPr>
          <t>ESPE:</t>
        </r>
        <r>
          <rPr>
            <sz val="9"/>
            <color indexed="81"/>
            <rFont val="Tahoma"/>
            <family val="2"/>
          </rPr>
          <t xml:space="preserve">
COMPLETITUD DOCUMENTO</t>
        </r>
      </text>
    </comment>
    <comment ref="B9" authorId="0" shapeId="0" xr:uid="{B130A0E5-7EA9-454F-8BFC-72E50125E68D}">
      <text>
        <r>
          <rPr>
            <b/>
            <sz val="9"/>
            <color indexed="81"/>
            <rFont val="Tahoma"/>
            <family val="2"/>
          </rPr>
          <t>ESPE:</t>
        </r>
        <r>
          <rPr>
            <sz val="9"/>
            <color indexed="81"/>
            <rFont val="Tahoma"/>
            <family val="2"/>
          </rPr>
          <t xml:space="preserve">
COMPLETITUD REQUISITO INDIVIDUAL
</t>
        </r>
      </text>
    </comment>
    <comment ref="B10" authorId="0" shapeId="0" xr:uid="{0CCB4BE5-D667-4F44-B37B-7776A5A8AA14}">
      <text>
        <r>
          <rPr>
            <b/>
            <sz val="9"/>
            <color indexed="81"/>
            <rFont val="Tahoma"/>
            <family val="2"/>
          </rPr>
          <t>ESPE:</t>
        </r>
        <r>
          <rPr>
            <sz val="9"/>
            <color indexed="81"/>
            <rFont val="Tahoma"/>
            <family val="2"/>
          </rPr>
          <t xml:space="preserve">
TRAZABILIDAD</t>
        </r>
      </text>
    </comment>
    <comment ref="B11" authorId="0" shapeId="0" xr:uid="{55E8BDA3-48FB-4C0C-AA2B-1DF0CF5FBADD}">
      <text>
        <r>
          <rPr>
            <b/>
            <sz val="9"/>
            <color indexed="81"/>
            <rFont val="Tahoma"/>
            <family val="2"/>
          </rPr>
          <t>ESPE:</t>
        </r>
        <r>
          <rPr>
            <sz val="9"/>
            <color indexed="81"/>
            <rFont val="Tahoma"/>
            <family val="2"/>
          </rPr>
          <t xml:space="preserve">
trazabilidad
</t>
        </r>
      </text>
    </comment>
    <comment ref="B12" authorId="0" shapeId="0" xr:uid="{6425115E-BEE3-4AA4-9B5D-104596FF0062}">
      <text>
        <r>
          <rPr>
            <b/>
            <sz val="9"/>
            <color indexed="81"/>
            <rFont val="Tahoma"/>
            <family val="2"/>
          </rPr>
          <t>ESPE:</t>
        </r>
        <r>
          <rPr>
            <sz val="9"/>
            <color indexed="81"/>
            <rFont val="Tahoma"/>
            <family val="2"/>
          </rPr>
          <t xml:space="preserve">
TRAZABILIDAD
</t>
        </r>
      </text>
    </comment>
    <comment ref="B13" authorId="0" shapeId="0" xr:uid="{447589DC-EF28-4993-A1E4-D225B5937535}">
      <text>
        <r>
          <rPr>
            <b/>
            <sz val="9"/>
            <color indexed="81"/>
            <rFont val="Tahoma"/>
            <family val="2"/>
          </rPr>
          <t>ESPE:</t>
        </r>
        <r>
          <rPr>
            <sz val="9"/>
            <color indexed="81"/>
            <rFont val="Tahoma"/>
            <family val="2"/>
          </rPr>
          <t xml:space="preserve">
CORRECCION
</t>
        </r>
      </text>
    </comment>
    <comment ref="B14" authorId="0" shapeId="0" xr:uid="{640E9D18-9592-4DD5-AF53-7E8749E381BB}">
      <text>
        <r>
          <rPr>
            <b/>
            <sz val="9"/>
            <color indexed="81"/>
            <rFont val="Tahoma"/>
            <family val="2"/>
          </rPr>
          <t>ESPE:</t>
        </r>
        <r>
          <rPr>
            <sz val="9"/>
            <color indexed="81"/>
            <rFont val="Tahoma"/>
            <family val="2"/>
          </rPr>
          <t xml:space="preserve">
CONSISTENCIA</t>
        </r>
      </text>
    </comment>
    <comment ref="B15" authorId="0" shapeId="0" xr:uid="{9AEFD382-B932-437B-80A2-10A1234BDAF6}">
      <text>
        <r>
          <rPr>
            <b/>
            <sz val="9"/>
            <color indexed="81"/>
            <rFont val="Tahoma"/>
            <family val="2"/>
          </rPr>
          <t>ESPE:</t>
        </r>
        <r>
          <rPr>
            <sz val="9"/>
            <color indexed="81"/>
            <rFont val="Tahoma"/>
            <family val="2"/>
          </rPr>
          <t xml:space="preserve">
NECESIDAD
</t>
        </r>
      </text>
    </comment>
    <comment ref="B16" authorId="0" shapeId="0" xr:uid="{EE8B2839-A0A2-483F-88A9-A7A4DE3C9DA2}">
      <text>
        <r>
          <rPr>
            <b/>
            <sz val="9"/>
            <color indexed="81"/>
            <rFont val="Tahoma"/>
            <family val="2"/>
          </rPr>
          <t>ESPE:</t>
        </r>
        <r>
          <rPr>
            <sz val="9"/>
            <color indexed="81"/>
            <rFont val="Tahoma"/>
            <family val="2"/>
          </rPr>
          <t xml:space="preserve">
verificable 
</t>
        </r>
      </text>
    </comment>
  </commentList>
</comments>
</file>

<file path=xl/sharedStrings.xml><?xml version="1.0" encoding="utf-8"?>
<sst xmlns="http://schemas.openxmlformats.org/spreadsheetml/2006/main" count="395" uniqueCount="93">
  <si>
    <t>MATRIZ PARA COMPROBACIÓN REQUERIMIENTOS DE CALIDAD DE PROYECTO ACADEMICO</t>
  </si>
  <si>
    <t>SITEMA:</t>
  </si>
  <si>
    <t>DESARROLLO DE UN SITEMA DE gestion de inventario de materia prima de la empresa Pintauto</t>
  </si>
  <si>
    <t>Requerimientos  Funcionales</t>
  </si>
  <si>
    <t>Nº</t>
  </si>
  <si>
    <t>CRITERIOS DE CALIDAD (Documento/Requerimientos)</t>
  </si>
  <si>
    <t>Status
Nivel de Acuerdo</t>
  </si>
  <si>
    <t xml:space="preserve">
RE01 Registrar Materia Prima</t>
  </si>
  <si>
    <t>RE02 Actualizar MP</t>
  </si>
  <si>
    <t>RE03 Crear una Orden de trabajo</t>
  </si>
  <si>
    <t>RE04 Eliminar Materia Prima</t>
  </si>
  <si>
    <t>Agreed</t>
  </si>
  <si>
    <t>OK</t>
  </si>
  <si>
    <t xml:space="preserve">1. Minutas, videos y actas firmadas de la elicitacitación de requisitos </t>
  </si>
  <si>
    <t>Ranked</t>
  </si>
  <si>
    <t>El requisito si posee un orden de prioridad 2</t>
  </si>
  <si>
    <t>El requisito si posee un orden de prioridad 3</t>
  </si>
  <si>
    <t>El requisito si posee un orden de prioridad 5</t>
  </si>
  <si>
    <t>El requisito si posee un orden de prioridad 7</t>
  </si>
  <si>
    <t>Unambiguos</t>
  </si>
  <si>
    <t>El requisito es claro y no posee multiples interprestaciones, se adjunta evidencia en un video.</t>
  </si>
  <si>
    <t>Valid and up-to date</t>
  </si>
  <si>
    <t>El requisito incorpora todos los requerimientos del usuario</t>
  </si>
  <si>
    <t>Correct</t>
  </si>
  <si>
    <t>Al no ser ambiguo, el requisito es correcto. Además, expresa de forma clara las expectativas de los stakeholders.</t>
  </si>
  <si>
    <t>Consisten</t>
  </si>
  <si>
    <t>No contiene ninguna contradiccion con ningun otro requisito, y tampoco genera ambigüedades</t>
  </si>
  <si>
    <t>Verifiable</t>
  </si>
  <si>
    <t>El requisito es verificable ya que redacta toda la informacion que debe mostrar el aplicativo, a demás se redacta de forma medible por el tiempo que se debe ejecutar la tarea, y su frecuencia</t>
  </si>
  <si>
    <t>El requisito tiene como verificable que se visualice la informacion en el aplicativo, a demás se redacta de forma medible por el tiempo</t>
  </si>
  <si>
    <t>Realizable</t>
  </si>
  <si>
    <t>Si es realizable, ya que se lo puede si se puede desarrollar dentro del tiempo propuesto y con las condiciones presupuestarias de la empresa, aunque actualmente solo se cuenta con el diseño de las interfaces</t>
  </si>
  <si>
    <t>Traceable</t>
  </si>
  <si>
    <t>Las relaciones con los posteriores requisitos esta clara dentro del documenro SRS.</t>
  </si>
  <si>
    <t>Las relaciones con los posteriores requisitos esta clara dentro del documenro SRS, pero no se cuenta con una matriz de trazabilidad para visualizar las relaciones de forma clara</t>
  </si>
  <si>
    <t>Complete</t>
  </si>
  <si>
    <t>Se considera completo porque abarca de forma clara y detallada todas las necesidades del cliente, sin omisiones.</t>
  </si>
  <si>
    <t>Understandability</t>
  </si>
  <si>
    <t xml:space="preserve"> El requisito es claro tanto para el cliente/stakeholder como para el equipo encargado de la elicitación, ya que su redacción es precisa y evita ambigüedades. Además, en el SRS se incluye un glosario de términos que facilita la comprensión del lenguaje utilizado</t>
  </si>
  <si>
    <t>SISTEMA:</t>
  </si>
  <si>
    <t>Inventario de materia prima - PINTAUTO</t>
  </si>
  <si>
    <t>FECHA:</t>
  </si>
  <si>
    <t>AUTOR:</t>
  </si>
  <si>
    <t>G2</t>
  </si>
  <si>
    <t>REQUERIMIENTO EVALUADO :</t>
  </si>
  <si>
    <t>RE01 Registrar Materia Prima</t>
  </si>
  <si>
    <t>CONTENIDO</t>
  </si>
  <si>
    <t>No.</t>
  </si>
  <si>
    <t>Pregunta</t>
  </si>
  <si>
    <t>SI</t>
  </si>
  <si>
    <t xml:space="preserve">NO </t>
  </si>
  <si>
    <t>Todos los requerimientos relevantes se han documentado?</t>
  </si>
  <si>
    <t>X</t>
  </si>
  <si>
    <t>Se han implementado las funciones requeridas?</t>
  </si>
  <si>
    <t xml:space="preserve"> Existe algún mecanismo que permita seguir el impacto de dicho requerimiento a lo largo del resto de las actividades del ciclo productivo.?</t>
  </si>
  <si>
    <t>El origen de cada requerimento individual está claro ?</t>
  </si>
  <si>
    <t>Que tan facil es devolverse a los requerimientos?</t>
  </si>
  <si>
    <t xml:space="preserve"> Los requerimientos reflejan las necesidades y deseos del cliente?</t>
  </si>
  <si>
    <t>No hay contradicciones entre los requerimientos?</t>
  </si>
  <si>
    <t>El requerimiento que se esta especificando contribuye a alcanzar un objetivo definido ?</t>
  </si>
  <si>
    <t>Existe un proceso acotado (en plazo y presupuesto) que permita determinar que el sistema construido satisface lo descrito en el propio requerimiento?</t>
  </si>
  <si>
    <t>SUMATORIA:</t>
  </si>
  <si>
    <t>PORCENTAJE :</t>
  </si>
  <si>
    <t>DOCUMENTACIÓN</t>
  </si>
  <si>
    <t>Aplica un estandar para la documetación de requerimiento?</t>
  </si>
  <si>
    <t>x</t>
  </si>
  <si>
    <t>Cumple con la estructura definida por el estandar?</t>
  </si>
  <si>
    <t>Utiliza un Glosario de términos normalizado?</t>
  </si>
  <si>
    <t>Los requerimientos Funcionales estan sujetos a una única interpretación?</t>
  </si>
  <si>
    <t>El modelo aplicado cumple con la sintaxis?</t>
  </si>
  <si>
    <t>NIVEL DE ACUERDO</t>
  </si>
  <si>
    <t>Todos los requerimientos  han sido acordados con todos los interesados?</t>
  </si>
  <si>
    <t>Todos los requerimientos  modificados han sido acordados por todos los implicados?</t>
  </si>
  <si>
    <t>Han sido resueltos todos los conflictos conocidos respectos de los requerimientos?</t>
  </si>
  <si>
    <t>RESUMEN</t>
  </si>
  <si>
    <t xml:space="preserve">CONTENIDO </t>
  </si>
  <si>
    <t>RE03 Crear una Orden de Trabajo</t>
  </si>
  <si>
    <t>RE07 Eliminar Materia Prima</t>
  </si>
  <si>
    <t>RFRegistrar Materia Prima</t>
  </si>
  <si>
    <t>PREGUNTA</t>
  </si>
  <si>
    <t>RECOMENDACIÓN</t>
  </si>
  <si>
    <t>En este caso, el mecanismo más básico para evaluar el impacto de los requerimientos a lo largo del ciclo productivo es la calidad del producto final, ya que refleja en qué medida se cumplieron dichos requerimientos. Aunque los requerimientos permiten estructurar adecuadamente las fases del ciclo, no se cuenta con una matriz de trazabilidad formal que permita hacer un seguimiento detallado del impacto de cada requerimiento durante el desarrollo. Esto puede dificultar el control y la verificación de su cumplimiento en etapas posteriores.</t>
  </si>
  <si>
    <t>No hay dificultad, ya que la documentación esta hecha de manera que se puede comprender y trabajar sobre ella, aunque no existe la matriz de trazabilidad, mediante el SLS es una de las formas de conocer la relación que existe entre los requisitos</t>
  </si>
  <si>
    <t>Si bien se sigue la estructura del estándar IEEE 830 y se utiliza una sintaxis unificada que permite a todos los involucrados en el proyecto (stakeholders, cliente y equipo de desarrollo) comprender claramente los términos utilizados, la denominación de los requisitos funcionales no es adecuada, lo cual puede dificultar su interpretación y seguimiento.</t>
  </si>
  <si>
    <t>Se utilizó un glosario de términos normalizado; sin embargo, este resulta muy básico, ya que no incluye varios términos que podrían ser desconocidos para los lectores.</t>
  </si>
  <si>
    <t>RF Actualizar Materia Prima</t>
  </si>
  <si>
    <t>No se presentan inconvenientes, ya que la documentación está redactada de forma clara, lo que permite comprenderla y utilizarla con facilidad. Aunque no se cuenta con una matriz de trazabilidad, el SLS proporciona una alternativa para identificar la conexión entre los distintos requerimientos.</t>
  </si>
  <si>
    <t>RF Crear una Orden de Trtabajo</t>
  </si>
  <si>
    <t>En este escenario, la calidad del producto final representa la forma más sencilla de valorar el impacto de los requerimientos a lo largo del ciclo de desarrollo, ya que evidencia el grado en que estos fueron satisfechos. Aunque los requerimientos contribuyen a organizar adecuadamente cada fase del proceso, no se cuenta con una matriz de trazabilidad formal que permita rastrear detalladamente cómo influye cada requerimiento durante el desarrollo. Esta ausencia puede dificultar su control y verificación en etapas futuras.</t>
  </si>
  <si>
    <t>No hay complicaciones, ya que la documentación ha sido desarrollada de manera entendible y permite trabajar sin problemas. Si bien no se dispone de una matriz de trazabilidad, el uso del SLS ofrece una forma de visualizar cómo se relacionan los distintos requisitos.</t>
  </si>
  <si>
    <t>RFEliminar Materia Prima</t>
  </si>
  <si>
    <t>La forma más simple de analizar cómo los requerimientos afectan el ciclo de desarrollo es a través de la calidad del producto final, ya que esta revela si se han cumplido adecuadamente. Aunque los requerimientos ayudan a definir con claridad las etapas del proceso, no se dispone de una herramienta formal, como una matriz de trazabilidad, que permita seguir el impacto específico de cada uno. Esta falta de seguimiento detallado puede complicar la evaluación y verificación de su cumplimiento en fases posteriores.</t>
  </si>
  <si>
    <t>No se presenta ninguna dificultad, ya que la documentación está elaborada de forma clara y comprensible, lo que facilita su uso. Aunque no se cuenta con una matriz de trazabilidad, el SLS permite identificar las relaciones existentes entre los requisitos.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</si>
</sst>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Calibri"/>
      <family val="2"/>
      <scheme val="minor"/>
    </font>
    <font>
      <b/>
      <sz val="15"/>
      <color theme="3"/>
      <name val="Calibri"/>
      <family val="2"/>
      <scheme val="minor"/>
    </font>
    <font>
      <sz val="8"/>
      <name val="Arial"/>
      <family val="2"/>
    </font>
    <font>
      <b/>
      <sz val="12"/>
      <name val="Arial"/>
      <family val="2"/>
    </font>
    <font>
      <sz val="11"/>
      <color theme="0"/>
      <name val="Calibri"/>
      <family val="2"/>
      <scheme val="minor"/>
    </font>
    <font>
      <b/>
      <sz val="12"/>
      <color theme="0"/>
      <name val="Calibri"/>
      <family val="2"/>
      <scheme val="minor"/>
    </font>
    <font>
      <b/>
      <sz val="16"/>
      <color theme="0"/>
      <name val="Calibri"/>
      <family val="2"/>
      <scheme val="minor"/>
    </font>
    <font>
      <b/>
      <sz val="18"/>
      <color theme="3"/>
      <name val="Calibri"/>
      <family val="2"/>
      <scheme val="minor"/>
    </font>
    <font>
      <b/>
      <sz val="16"/>
      <color theme="1"/>
      <name val="Calibri"/>
      <family val="2"/>
      <scheme val="minor"/>
    </font>
    <font>
      <b/>
      <sz val="18"/>
      <name val="Arial"/>
      <family val="2"/>
    </font>
    <font>
      <sz val="9"/>
      <color indexed="81"/>
      <name val="Tahoma"/>
      <family val="2"/>
    </font>
    <font>
      <b/>
      <sz val="9"/>
      <color indexed="81"/>
      <name val="Tahoma"/>
      <family val="2"/>
    </font>
    <font>
      <b/>
      <sz val="11"/>
      <name val="Arial"/>
      <family val="2"/>
    </font>
    <font>
      <sz val="9"/>
      <color indexed="81"/>
      <name val="Tahoma"/>
      <charset val="1"/>
    </font>
    <font>
      <b/>
      <sz val="9"/>
      <color indexed="81"/>
      <name val="Tahoma"/>
      <charset val="1"/>
    </font>
    <font>
      <b/>
      <sz val="18"/>
      <name val="Calibri"/>
      <family val="2"/>
      <scheme val="minor"/>
    </font>
    <font>
      <b/>
      <sz val="14"/>
      <color theme="1"/>
      <name val="Calibri"/>
      <family val="2"/>
      <scheme val="minor"/>
    </font>
    <font>
      <sz val="11"/>
      <color theme="1"/>
      <name val="Calibri"/>
      <family val="2"/>
      <scheme val="minor"/>
    </font>
    <font>
      <sz val="11"/>
      <color rgb="FFFA7D00"/>
      <name val="Calibri"/>
      <family val="2"/>
      <scheme val="minor"/>
    </font>
    <font>
      <sz val="14"/>
      <color theme="1"/>
      <name val="Calibri"/>
      <family val="2"/>
      <scheme val="minor"/>
    </font>
    <font>
      <b/>
      <sz val="18"/>
      <color rgb="FFFA7D00"/>
      <name val="Calibri"/>
      <family val="2"/>
      <scheme val="minor"/>
    </font>
    <font>
      <b/>
      <sz val="12"/>
      <name val="Arial"/>
    </font>
    <font>
      <b/>
      <sz val="20"/>
      <color theme="1" tint="0.499984740745262"/>
      <name val="Calibri"/>
      <family val="2"/>
      <scheme val="minor"/>
    </font>
  </fonts>
  <fills count="7">
    <fill>
      <patternFill patternType="none"/>
    </fill>
    <fill>
      <patternFill patternType="gray125"/>
    </fill>
    <fill>
      <patternFill patternType="solid">
        <fgColor theme="0" tint="-0.14999847407452621"/>
        <bgColor indexed="64"/>
      </patternFill>
    </fill>
    <fill>
      <patternFill patternType="solid">
        <fgColor rgb="FF92D050"/>
        <bgColor indexed="64"/>
      </patternFill>
    </fill>
    <fill>
      <patternFill patternType="solid">
        <fgColor theme="4"/>
      </patternFill>
    </fill>
    <fill>
      <patternFill patternType="solid">
        <fgColor theme="4" tint="0.59999389629810485"/>
        <bgColor indexed="65"/>
      </patternFill>
    </fill>
    <fill>
      <patternFill patternType="solid">
        <fgColor theme="6" tint="0.39997558519241921"/>
        <bgColor indexed="65"/>
      </patternFill>
    </fill>
  </fills>
  <borders count="13">
    <border>
      <left/>
      <right/>
      <top/>
      <bottom/>
      <diagonal/>
    </border>
    <border>
      <left/>
      <right/>
      <top/>
      <bottom style="thick">
        <color theme="4"/>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top/>
      <bottom style="double">
        <color rgb="FFFF8001"/>
      </bottom>
      <diagonal/>
    </border>
    <border>
      <left/>
      <right/>
      <top/>
      <bottom style="thin">
        <color indexed="64"/>
      </bottom>
      <diagonal/>
    </border>
  </borders>
  <cellStyleXfs count="7">
    <xf numFmtId="0" fontId="0" fillId="0" borderId="0"/>
    <xf numFmtId="0" fontId="1" fillId="0" borderId="1" applyNumberFormat="0" applyFill="0" applyAlignment="0" applyProtection="0"/>
    <xf numFmtId="0" fontId="4" fillId="4" borderId="0" applyNumberFormat="0" applyBorder="0" applyAlignment="0" applyProtection="0"/>
    <xf numFmtId="9" fontId="17" fillId="0" borderId="0" applyFont="0" applyFill="0" applyBorder="0" applyAlignment="0" applyProtection="0"/>
    <xf numFmtId="0" fontId="18" fillId="0" borderId="11" applyNumberFormat="0" applyFill="0" applyAlignment="0" applyProtection="0"/>
    <xf numFmtId="0" fontId="17" fillId="5" borderId="0" applyNumberFormat="0" applyBorder="0" applyAlignment="0" applyProtection="0"/>
    <xf numFmtId="0" fontId="4" fillId="6" borderId="0" applyNumberFormat="0" applyBorder="0" applyAlignment="0" applyProtection="0"/>
  </cellStyleXfs>
  <cellXfs count="60">
    <xf numFmtId="0" fontId="0" fillId="0" borderId="0" xfId="0"/>
    <xf numFmtId="0" fontId="2" fillId="0" borderId="0" xfId="0" applyFont="1" applyAlignment="1">
      <alignment horizontal="center"/>
    </xf>
    <xf numFmtId="0" fontId="5" fillId="4" borderId="3" xfId="2" applyFont="1" applyBorder="1" applyAlignment="1">
      <alignment horizontal="left" vertical="center" wrapText="1"/>
    </xf>
    <xf numFmtId="0" fontId="5" fillId="4" borderId="3" xfId="2" applyFont="1" applyBorder="1" applyAlignment="1">
      <alignment vertical="center" wrapText="1"/>
    </xf>
    <xf numFmtId="0" fontId="5" fillId="4" borderId="6" xfId="2" applyFont="1" applyBorder="1" applyAlignment="1">
      <alignment horizontal="left" vertical="center" wrapText="1"/>
    </xf>
    <xf numFmtId="0" fontId="8" fillId="3" borderId="3" xfId="2" applyFont="1" applyFill="1" applyBorder="1" applyAlignment="1">
      <alignment horizontal="center" vertical="center" wrapText="1"/>
    </xf>
    <xf numFmtId="0" fontId="6" fillId="4" borderId="9" xfId="2" applyFont="1" applyBorder="1" applyAlignment="1">
      <alignment horizontal="center" vertical="center" wrapText="1"/>
    </xf>
    <xf numFmtId="0" fontId="5" fillId="4" borderId="7" xfId="2" applyFont="1" applyBorder="1" applyAlignment="1">
      <alignment horizontal="left" vertical="center" wrapText="1"/>
    </xf>
    <xf numFmtId="0" fontId="0" fillId="0" borderId="3" xfId="0" applyBorder="1"/>
    <xf numFmtId="0" fontId="7" fillId="0" borderId="0" xfId="1" applyFont="1" applyBorder="1" applyAlignment="1">
      <alignment horizontal="center" vertical="center" wrapText="1"/>
    </xf>
    <xf numFmtId="0" fontId="15" fillId="0" borderId="0" xfId="1" applyFont="1" applyBorder="1" applyAlignment="1">
      <alignment horizontal="center" vertical="center" wrapText="1"/>
    </xf>
    <xf numFmtId="0" fontId="0" fillId="0" borderId="3" xfId="0" applyBorder="1" applyAlignment="1">
      <alignment horizontal="center" vertical="center"/>
    </xf>
    <xf numFmtId="0" fontId="0" fillId="0" borderId="3" xfId="0" applyBorder="1" applyAlignment="1">
      <alignment wrapText="1"/>
    </xf>
    <xf numFmtId="0" fontId="0" fillId="0" borderId="6" xfId="0" applyBorder="1" applyAlignment="1">
      <alignment horizontal="center" vertical="center"/>
    </xf>
    <xf numFmtId="0" fontId="16" fillId="0" borderId="7" xfId="0" applyFont="1" applyBorder="1" applyAlignment="1">
      <alignment horizontal="center" vertical="center"/>
    </xf>
    <xf numFmtId="0" fontId="8" fillId="0" borderId="5" xfId="0" applyFont="1" applyBorder="1" applyAlignment="1">
      <alignment horizontal="center" vertical="center"/>
    </xf>
    <xf numFmtId="0" fontId="8" fillId="0" borderId="10" xfId="0" applyFont="1" applyBorder="1" applyAlignment="1">
      <alignment horizontal="center" vertical="center"/>
    </xf>
    <xf numFmtId="0" fontId="0" fillId="0" borderId="8" xfId="0" applyBorder="1" applyAlignment="1">
      <alignment horizontal="center" vertical="center"/>
    </xf>
    <xf numFmtId="0" fontId="0" fillId="0" borderId="4" xfId="0" applyBorder="1" applyAlignment="1">
      <alignment wrapText="1"/>
    </xf>
    <xf numFmtId="0" fontId="0" fillId="0" borderId="0" xfId="0" applyAlignment="1">
      <alignment vertical="top"/>
    </xf>
    <xf numFmtId="0" fontId="16" fillId="0" borderId="0" xfId="0" applyFont="1" applyAlignment="1">
      <alignment horizontal="left" vertical="top"/>
    </xf>
    <xf numFmtId="0" fontId="16" fillId="0" borderId="0" xfId="0" applyFont="1" applyAlignment="1">
      <alignment horizontal="left"/>
    </xf>
    <xf numFmtId="0" fontId="16" fillId="0" borderId="5" xfId="0" applyFont="1" applyBorder="1" applyAlignment="1">
      <alignment horizontal="center" vertical="center"/>
    </xf>
    <xf numFmtId="0" fontId="0" fillId="0" borderId="9" xfId="0" applyBorder="1" applyAlignment="1">
      <alignment horizontal="center" vertical="center"/>
    </xf>
    <xf numFmtId="0" fontId="0" fillId="0" borderId="4" xfId="0" applyBorder="1" applyAlignment="1">
      <alignment horizontal="center" vertical="center"/>
    </xf>
    <xf numFmtId="0" fontId="0" fillId="0" borderId="2" xfId="0" applyBorder="1" applyAlignment="1">
      <alignment horizontal="center" vertical="center"/>
    </xf>
    <xf numFmtId="0" fontId="19" fillId="5" borderId="7" xfId="5" applyFont="1" applyBorder="1" applyAlignment="1">
      <alignment horizontal="center" vertical="center"/>
    </xf>
    <xf numFmtId="0" fontId="19" fillId="5" borderId="5" xfId="5" applyFont="1" applyBorder="1" applyAlignment="1">
      <alignment horizontal="center" vertical="center"/>
    </xf>
    <xf numFmtId="0" fontId="19" fillId="5" borderId="10" xfId="5" applyFont="1" applyBorder="1" applyAlignment="1">
      <alignment horizontal="center" vertical="center"/>
    </xf>
    <xf numFmtId="9" fontId="0" fillId="0" borderId="0" xfId="3" applyFont="1" applyBorder="1"/>
    <xf numFmtId="0" fontId="16" fillId="0" borderId="0" xfId="0" applyFont="1" applyAlignment="1">
      <alignment horizontal="left" vertical="center"/>
    </xf>
    <xf numFmtId="9" fontId="0" fillId="0" borderId="0" xfId="3" applyFont="1"/>
    <xf numFmtId="9" fontId="0" fillId="0" borderId="0" xfId="0" applyNumberFormat="1"/>
    <xf numFmtId="0" fontId="0" fillId="0" borderId="3" xfId="0" applyBorder="1" applyAlignment="1">
      <alignment horizontal="left" vertical="center" wrapText="1"/>
    </xf>
    <xf numFmtId="0" fontId="0" fillId="0" borderId="3" xfId="0" applyBorder="1" applyAlignment="1">
      <alignment vertical="center"/>
    </xf>
    <xf numFmtId="0" fontId="22" fillId="6" borderId="3" xfId="6" applyFont="1" applyBorder="1" applyAlignment="1">
      <alignment horizontal="center" vertical="center"/>
    </xf>
    <xf numFmtId="0" fontId="3" fillId="2" borderId="3" xfId="0" applyFont="1" applyFill="1" applyBorder="1" applyAlignment="1">
      <alignment horizontal="center" vertical="center" wrapText="1"/>
    </xf>
    <xf numFmtId="0" fontId="3" fillId="2" borderId="3" xfId="0" applyFont="1" applyFill="1" applyBorder="1" applyAlignment="1">
      <alignment horizontal="center" vertical="center"/>
    </xf>
    <xf numFmtId="0" fontId="21" fillId="2" borderId="3" xfId="0" applyFont="1" applyFill="1" applyBorder="1" applyAlignment="1">
      <alignment horizontal="center" vertical="center" wrapText="1"/>
    </xf>
    <xf numFmtId="0" fontId="21" fillId="2" borderId="3" xfId="0" applyFont="1" applyFill="1" applyBorder="1" applyAlignment="1">
      <alignment horizontal="center" vertical="center"/>
    </xf>
    <xf numFmtId="0" fontId="9" fillId="2" borderId="3" xfId="0" applyFont="1" applyFill="1" applyBorder="1" applyAlignment="1">
      <alignment horizontal="center" vertical="center"/>
    </xf>
    <xf numFmtId="0" fontId="7" fillId="0" borderId="0" xfId="1" applyFont="1" applyBorder="1" applyAlignment="1">
      <alignment horizontal="center" vertical="center" wrapText="1"/>
    </xf>
    <xf numFmtId="0" fontId="15" fillId="0" borderId="0" xfId="1" applyFont="1" applyBorder="1" applyAlignment="1">
      <alignment horizontal="left" vertical="center" wrapText="1"/>
    </xf>
    <xf numFmtId="0" fontId="6" fillId="4" borderId="9" xfId="2" applyFont="1" applyBorder="1" applyAlignment="1">
      <alignment horizontal="center" vertical="center" wrapText="1"/>
    </xf>
    <xf numFmtId="0" fontId="6" fillId="4" borderId="6" xfId="2" applyFont="1" applyBorder="1" applyAlignment="1">
      <alignment horizontal="center" vertical="center" wrapText="1"/>
    </xf>
    <xf numFmtId="0" fontId="3" fillId="2" borderId="4"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12" fillId="2" borderId="4" xfId="0" applyFont="1" applyFill="1" applyBorder="1" applyAlignment="1">
      <alignment horizontal="center" vertical="center" wrapText="1"/>
    </xf>
    <xf numFmtId="0" fontId="12" fillId="2" borderId="5" xfId="0" applyFont="1" applyFill="1" applyBorder="1" applyAlignment="1">
      <alignment horizontal="center" vertical="center" wrapText="1"/>
    </xf>
    <xf numFmtId="0" fontId="16" fillId="0" borderId="0" xfId="0" applyFont="1" applyAlignment="1">
      <alignment horizontal="left" vertical="center"/>
    </xf>
    <xf numFmtId="0" fontId="20" fillId="0" borderId="0" xfId="4" applyFont="1" applyBorder="1" applyAlignment="1">
      <alignment horizontal="center" vertical="center"/>
    </xf>
    <xf numFmtId="0" fontId="19" fillId="0" borderId="0" xfId="0" applyFont="1" applyAlignment="1">
      <alignment horizontal="left" vertical="top" wrapText="1"/>
    </xf>
    <xf numFmtId="15" fontId="19" fillId="0" borderId="0" xfId="0" applyNumberFormat="1" applyFont="1" applyAlignment="1">
      <alignment horizontal="left" wrapText="1"/>
    </xf>
    <xf numFmtId="0" fontId="19" fillId="0" borderId="0" xfId="0" applyFont="1" applyAlignment="1">
      <alignment horizontal="left" wrapText="1"/>
    </xf>
    <xf numFmtId="0" fontId="16" fillId="0" borderId="0" xfId="0" applyFont="1" applyAlignment="1">
      <alignment horizontal="center"/>
    </xf>
    <xf numFmtId="0" fontId="20" fillId="0" borderId="12" xfId="4" applyFont="1" applyBorder="1" applyAlignment="1">
      <alignment horizontal="center" vertical="center"/>
    </xf>
  </cellXfs>
  <cellStyles count="7">
    <cellStyle name="40% - Énfasis1" xfId="5" builtinId="31"/>
    <cellStyle name="60% - Énfasis3" xfId="6" builtinId="40"/>
    <cellStyle name="Celda vinculada" xfId="4" builtinId="24"/>
    <cellStyle name="Encabezado 1" xfId="1" builtinId="16"/>
    <cellStyle name="Énfasis1" xfId="2" builtinId="29"/>
    <cellStyle name="Normal" xfId="0" builtinId="0"/>
    <cellStyle name="Porcentaje" xfId="3" builtinId="5"/>
  </cellStyles>
  <dxfs count="136">
    <dxf>
      <numFmt numFmtId="0" formatCode="Genera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indexed="65"/>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indexed="65"/>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indexed="65"/>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indexed="65"/>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border diagonalUp="0" diagonalDown="0" outline="0">
        <left style="thin">
          <color indexed="64"/>
        </left>
        <right style="thin">
          <color indexed="64"/>
        </right>
        <top style="thin">
          <color indexed="64"/>
        </top>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strike val="0"/>
        <outline val="0"/>
        <shadow val="0"/>
        <u val="none"/>
        <vertAlign val="baseline"/>
        <sz val="14"/>
        <color theme="1"/>
        <name val="Calibri"/>
        <scheme val="minor"/>
      </font>
      <alignment horizontal="center" vertical="center" textRotation="0" wrapText="0" indent="0" justifyLastLine="0" shrinkToFit="0" readingOrder="0"/>
      <border diagonalUp="0" diagonalDown="0" outline="0">
        <left/>
        <right style="thin">
          <color indexed="64"/>
        </right>
        <top style="thin">
          <color indexed="64"/>
        </top>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strike val="0"/>
        <outline val="0"/>
        <shadow val="0"/>
        <u val="none"/>
        <vertAlign val="baseline"/>
        <sz val="14"/>
        <color theme="1"/>
        <name val="Calibri"/>
        <scheme val="minor"/>
      </font>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FF0000"/>
      </font>
    </dxf>
    <dxf>
      <font>
        <b/>
        <i val="0"/>
      </font>
      <fill>
        <patternFill>
          <bgColor rgb="FFFF0000"/>
        </patternFill>
      </fill>
    </dxf>
    <dxf>
      <font>
        <color rgb="FF9C0006"/>
      </font>
      <fill>
        <patternFill>
          <bgColor rgb="FFFFC7CE"/>
        </patternFill>
      </fill>
    </dxf>
    <dxf>
      <font>
        <color rgb="FF006100"/>
      </font>
      <fill>
        <patternFill>
          <bgColor rgb="FFC6EFCE"/>
        </patternFill>
      </fill>
    </dxf>
    <dxf>
      <fill>
        <patternFill>
          <bgColor rgb="FFFFC7CE"/>
        </patternFill>
      </fill>
    </dxf>
    <dxf>
      <numFmt numFmtId="0" formatCode="Genera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indexed="65"/>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indexed="65"/>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indexed="65"/>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indexed="65"/>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border diagonalUp="0" diagonalDown="0" outline="0">
        <left style="thin">
          <color indexed="64"/>
        </left>
        <right style="thin">
          <color indexed="64"/>
        </right>
        <top style="thin">
          <color indexed="64"/>
        </top>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strike val="0"/>
        <outline val="0"/>
        <shadow val="0"/>
        <u val="none"/>
        <vertAlign val="baseline"/>
        <sz val="14"/>
        <color theme="1"/>
        <name val="Calibri"/>
        <scheme val="minor"/>
      </font>
      <alignment horizontal="center" vertical="center" textRotation="0" wrapText="0" indent="0" justifyLastLine="0" shrinkToFit="0" readingOrder="0"/>
      <border diagonalUp="0" diagonalDown="0" outline="0">
        <left/>
        <right style="thin">
          <color indexed="64"/>
        </right>
        <top style="thin">
          <color indexed="64"/>
        </top>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strike val="0"/>
        <outline val="0"/>
        <shadow val="0"/>
        <u val="none"/>
        <vertAlign val="baseline"/>
        <sz val="14"/>
        <color theme="1"/>
        <name val="Calibri"/>
        <scheme val="minor"/>
      </font>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FF0000"/>
      </font>
    </dxf>
    <dxf>
      <font>
        <b/>
        <i val="0"/>
      </font>
      <fill>
        <patternFill>
          <bgColor rgb="FFFF0000"/>
        </patternFill>
      </fill>
    </dxf>
    <dxf>
      <font>
        <color rgb="FF9C0006"/>
      </font>
      <fill>
        <patternFill>
          <bgColor rgb="FFFFC7CE"/>
        </patternFill>
      </fill>
    </dxf>
    <dxf>
      <font>
        <color rgb="FF006100"/>
      </font>
      <fill>
        <patternFill>
          <bgColor rgb="FFC6EFCE"/>
        </patternFill>
      </fill>
    </dxf>
    <dxf>
      <fill>
        <patternFill>
          <bgColor rgb="FFFFC7CE"/>
        </patternFill>
      </fill>
    </dxf>
    <dxf>
      <numFmt numFmtId="0" formatCode="Genera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indexed="65"/>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indexed="65"/>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indexed="65"/>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indexed="65"/>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border diagonalUp="0" diagonalDown="0" outline="0">
        <left style="thin">
          <color indexed="64"/>
        </left>
        <right style="thin">
          <color indexed="64"/>
        </right>
        <top style="thin">
          <color indexed="64"/>
        </top>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strike val="0"/>
        <outline val="0"/>
        <shadow val="0"/>
        <u val="none"/>
        <vertAlign val="baseline"/>
        <sz val="14"/>
        <color theme="1"/>
        <name val="Calibri"/>
        <scheme val="minor"/>
      </font>
      <alignment horizontal="center" vertical="center" textRotation="0" wrapText="0" indent="0" justifyLastLine="0" shrinkToFit="0" readingOrder="0"/>
      <border diagonalUp="0" diagonalDown="0" outline="0">
        <left/>
        <right style="thin">
          <color indexed="64"/>
        </right>
        <top style="thin">
          <color indexed="64"/>
        </top>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strike val="0"/>
        <outline val="0"/>
        <shadow val="0"/>
        <u val="none"/>
        <vertAlign val="baseline"/>
        <sz val="14"/>
        <color theme="1"/>
        <name val="Calibri"/>
        <scheme val="minor"/>
      </font>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FF0000"/>
      </font>
    </dxf>
    <dxf>
      <font>
        <b/>
        <i val="0"/>
      </font>
      <fill>
        <patternFill>
          <bgColor rgb="FFFF0000"/>
        </patternFill>
      </fill>
    </dxf>
    <dxf>
      <font>
        <color rgb="FF9C0006"/>
      </font>
      <fill>
        <patternFill>
          <bgColor rgb="FFFFC7CE"/>
        </patternFill>
      </fill>
    </dxf>
    <dxf>
      <font>
        <color rgb="FF006100"/>
      </font>
      <fill>
        <patternFill>
          <bgColor rgb="FFC6EFCE"/>
        </patternFill>
      </fill>
    </dxf>
    <dxf>
      <fill>
        <patternFill>
          <bgColor rgb="FFFFC7CE"/>
        </patternFill>
      </fill>
    </dxf>
    <dxf>
      <numFmt numFmtId="0" formatCode="Genera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indexed="65"/>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indexed="65"/>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indexed="65"/>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indexed="65"/>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border diagonalUp="0" diagonalDown="0" outline="0">
        <left style="thin">
          <color indexed="64"/>
        </left>
        <right style="thin">
          <color indexed="64"/>
        </right>
        <top style="thin">
          <color indexed="64"/>
        </top>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strike val="0"/>
        <outline val="0"/>
        <shadow val="0"/>
        <u val="none"/>
        <vertAlign val="baseline"/>
        <sz val="14"/>
        <color theme="1"/>
        <name val="Calibri"/>
        <scheme val="minor"/>
      </font>
      <alignment horizontal="center" vertical="center" textRotation="0" wrapText="0" indent="0" justifyLastLine="0" shrinkToFit="0" readingOrder="0"/>
      <border diagonalUp="0" diagonalDown="0" outline="0">
        <left/>
        <right style="thin">
          <color indexed="64"/>
        </right>
        <top style="thin">
          <color indexed="64"/>
        </top>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strike val="0"/>
        <outline val="0"/>
        <shadow val="0"/>
        <u val="none"/>
        <vertAlign val="baseline"/>
        <sz val="14"/>
        <color theme="1"/>
        <name val="Calibri"/>
        <scheme val="minor"/>
      </font>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FF0000"/>
      </font>
    </dxf>
    <dxf>
      <font>
        <b/>
        <i val="0"/>
      </font>
      <fill>
        <patternFill>
          <bgColor rgb="FFFF0000"/>
        </patternFill>
      </fill>
    </dxf>
    <dxf>
      <font>
        <color rgb="FF9C0006"/>
      </font>
      <fill>
        <patternFill>
          <bgColor rgb="FFFFC7CE"/>
        </patternFill>
      </fill>
    </dxf>
    <dxf>
      <font>
        <color rgb="FF006100"/>
      </font>
      <fill>
        <patternFill>
          <bgColor rgb="FFC6EFCE"/>
        </patternFill>
      </fill>
    </dxf>
    <dxf>
      <fill>
        <patternFill>
          <bgColor rgb="FFFFC7CE"/>
        </patternFill>
      </fill>
    </dxf>
  </dxfs>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ES"/>
              <a:t>CRITERIO DE CALIDAD </a:t>
            </a:r>
          </a:p>
        </c:rich>
      </c:tx>
      <c:layout>
        <c:manualLayout>
          <c:xMode val="edge"/>
          <c:yMode val="edge"/>
          <c:x val="0.30949300087489068"/>
          <c:y val="6.0185185185185182E-2"/>
        </c:manualLayout>
      </c:layout>
      <c:overlay val="0"/>
    </c:title>
    <c:autoTitleDeleted val="0"/>
    <c:view3D>
      <c:rotX val="75"/>
      <c:rotY val="0"/>
      <c:rAngAx val="0"/>
    </c:view3D>
    <c:floor>
      <c:thickness val="0"/>
    </c:floor>
    <c:sideWall>
      <c:thickness val="0"/>
    </c:sideWall>
    <c:backWall>
      <c:thickness val="0"/>
    </c:backWall>
    <c:plotArea>
      <c:layout/>
      <c:pie3DChart>
        <c:varyColors val="1"/>
        <c:ser>
          <c:idx val="0"/>
          <c:order val="0"/>
          <c:explosion val="25"/>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'MODELO LISTA DE COMPROBACION'!$B$41:$B$43</c:f>
              <c:strCache>
                <c:ptCount val="3"/>
                <c:pt idx="0">
                  <c:v>CONTENIDO </c:v>
                </c:pt>
                <c:pt idx="1">
                  <c:v>DOCUMENTACIÓN</c:v>
                </c:pt>
                <c:pt idx="2">
                  <c:v>NIVEL DE ACUERDO</c:v>
                </c:pt>
              </c:strCache>
            </c:strRef>
          </c:cat>
          <c:val>
            <c:numRef>
              <c:f>'MODELO LISTA DE COMPROBACION'!$C$41:$C$43</c:f>
              <c:numCache>
                <c:formatCode>0%</c:formatCode>
                <c:ptCount val="3"/>
                <c:pt idx="0">
                  <c:v>0.67</c:v>
                </c:pt>
                <c:pt idx="1">
                  <c:v>0.6</c:v>
                </c:pt>
                <c:pt idx="2">
                  <c:v>1</c:v>
                </c:pt>
              </c:numCache>
            </c:numRef>
          </c:val>
          <c:extLst>
            <c:ext xmlns:c16="http://schemas.microsoft.com/office/drawing/2014/chart" uri="{C3380CC4-5D6E-409C-BE32-E72D297353CC}">
              <c16:uniqueId val="{00000000-DBBB-453A-A002-8C395BA96D3D}"/>
            </c:ext>
          </c:extLst>
        </c:ser>
        <c:dLbls>
          <c:showLegendKey val="0"/>
          <c:showVal val="0"/>
          <c:showCatName val="0"/>
          <c:showSerName val="0"/>
          <c:showPercent val="1"/>
          <c:showBubbleSize val="0"/>
          <c:showLeaderLines val="1"/>
        </c:dLbls>
      </c:pie3DChart>
    </c:plotArea>
    <c:legend>
      <c:legendPos val="r"/>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ES"/>
              <a:t>CRITERIO DE CALIDAD </a:t>
            </a:r>
          </a:p>
        </c:rich>
      </c:tx>
      <c:layout>
        <c:manualLayout>
          <c:xMode val="edge"/>
          <c:yMode val="edge"/>
          <c:x val="0.30949300087489068"/>
          <c:y val="6.0185185185185182E-2"/>
        </c:manualLayout>
      </c:layout>
      <c:overlay val="0"/>
    </c:title>
    <c:autoTitleDeleted val="0"/>
    <c:view3D>
      <c:rotX val="75"/>
      <c:rotY val="0"/>
      <c:rAngAx val="0"/>
    </c:view3D>
    <c:floor>
      <c:thickness val="0"/>
    </c:floor>
    <c:sideWall>
      <c:thickness val="0"/>
    </c:sideWall>
    <c:backWall>
      <c:thickness val="0"/>
    </c:backWall>
    <c:plotArea>
      <c:layout/>
      <c:pie3DChart>
        <c:varyColors val="1"/>
        <c:ser>
          <c:idx val="0"/>
          <c:order val="0"/>
          <c:explosion val="25"/>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'MODELO LISTA DE COMPROBACIO (2)'!$B$41:$B$43</c:f>
              <c:strCache>
                <c:ptCount val="3"/>
                <c:pt idx="0">
                  <c:v>CONTENIDO </c:v>
                </c:pt>
                <c:pt idx="1">
                  <c:v>DOCUMENTACIÓN</c:v>
                </c:pt>
                <c:pt idx="2">
                  <c:v>NIVEL DE ACUERDO</c:v>
                </c:pt>
              </c:strCache>
            </c:strRef>
          </c:cat>
          <c:val>
            <c:numRef>
              <c:f>'MODELO LISTA DE COMPROBACIO (2)'!$C$41:$C$43</c:f>
              <c:numCache>
                <c:formatCode>0%</c:formatCode>
                <c:ptCount val="3"/>
                <c:pt idx="0">
                  <c:v>0.67</c:v>
                </c:pt>
                <c:pt idx="1">
                  <c:v>0.8</c:v>
                </c:pt>
                <c:pt idx="2">
                  <c:v>1</c:v>
                </c:pt>
              </c:numCache>
            </c:numRef>
          </c:val>
          <c:extLst>
            <c:ext xmlns:c16="http://schemas.microsoft.com/office/drawing/2014/chart" uri="{C3380CC4-5D6E-409C-BE32-E72D297353CC}">
              <c16:uniqueId val="{00000000-2032-421A-90CC-2F024B164AC1}"/>
            </c:ext>
          </c:extLst>
        </c:ser>
        <c:dLbls>
          <c:showLegendKey val="0"/>
          <c:showVal val="0"/>
          <c:showCatName val="0"/>
          <c:showSerName val="0"/>
          <c:showPercent val="1"/>
          <c:showBubbleSize val="0"/>
          <c:showLeaderLines val="1"/>
        </c:dLbls>
      </c:pie3DChart>
    </c:plotArea>
    <c:legend>
      <c:legendPos val="r"/>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ES"/>
              <a:t>CRITERIO DE CALIDAD </a:t>
            </a:r>
          </a:p>
        </c:rich>
      </c:tx>
      <c:layout>
        <c:manualLayout>
          <c:xMode val="edge"/>
          <c:yMode val="edge"/>
          <c:x val="0.30949300087489068"/>
          <c:y val="6.0185185185185182E-2"/>
        </c:manualLayout>
      </c:layout>
      <c:overlay val="0"/>
    </c:title>
    <c:autoTitleDeleted val="0"/>
    <c:view3D>
      <c:rotX val="75"/>
      <c:rotY val="0"/>
      <c:rAngAx val="0"/>
    </c:view3D>
    <c:floor>
      <c:thickness val="0"/>
    </c:floor>
    <c:sideWall>
      <c:thickness val="0"/>
    </c:sideWall>
    <c:backWall>
      <c:thickness val="0"/>
    </c:backWall>
    <c:plotArea>
      <c:layout/>
      <c:pie3DChart>
        <c:varyColors val="1"/>
        <c:ser>
          <c:idx val="0"/>
          <c:order val="0"/>
          <c:explosion val="25"/>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'MODELO LISTA DE COMPROBACIO (3)'!$B$41:$B$43</c:f>
              <c:strCache>
                <c:ptCount val="3"/>
                <c:pt idx="0">
                  <c:v>CONTENIDO </c:v>
                </c:pt>
                <c:pt idx="1">
                  <c:v>DOCUMENTACIÓN</c:v>
                </c:pt>
                <c:pt idx="2">
                  <c:v>NIVEL DE ACUERDO</c:v>
                </c:pt>
              </c:strCache>
            </c:strRef>
          </c:cat>
          <c:val>
            <c:numRef>
              <c:f>'MODELO LISTA DE COMPROBACIO (3)'!$C$41:$C$43</c:f>
              <c:numCache>
                <c:formatCode>0%</c:formatCode>
                <c:ptCount val="3"/>
                <c:pt idx="0">
                  <c:v>0.67</c:v>
                </c:pt>
                <c:pt idx="1">
                  <c:v>0.8</c:v>
                </c:pt>
                <c:pt idx="2">
                  <c:v>1</c:v>
                </c:pt>
              </c:numCache>
            </c:numRef>
          </c:val>
          <c:extLst>
            <c:ext xmlns:c16="http://schemas.microsoft.com/office/drawing/2014/chart" uri="{C3380CC4-5D6E-409C-BE32-E72D297353CC}">
              <c16:uniqueId val="{00000000-037B-416D-8B4C-C8C9464F8298}"/>
            </c:ext>
          </c:extLst>
        </c:ser>
        <c:dLbls>
          <c:showLegendKey val="0"/>
          <c:showVal val="0"/>
          <c:showCatName val="0"/>
          <c:showSerName val="0"/>
          <c:showPercent val="1"/>
          <c:showBubbleSize val="0"/>
          <c:showLeaderLines val="1"/>
        </c:dLbls>
      </c:pie3DChart>
    </c:plotArea>
    <c:legend>
      <c:legendPos val="r"/>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ES"/>
              <a:t>CRITERIO DE CALIDAD </a:t>
            </a:r>
          </a:p>
        </c:rich>
      </c:tx>
      <c:layout>
        <c:manualLayout>
          <c:xMode val="edge"/>
          <c:yMode val="edge"/>
          <c:x val="0.30949300087489068"/>
          <c:y val="6.0185185185185182E-2"/>
        </c:manualLayout>
      </c:layout>
      <c:overlay val="0"/>
    </c:title>
    <c:autoTitleDeleted val="0"/>
    <c:view3D>
      <c:rotX val="75"/>
      <c:rotY val="0"/>
      <c:rAngAx val="0"/>
    </c:view3D>
    <c:floor>
      <c:thickness val="0"/>
    </c:floor>
    <c:sideWall>
      <c:thickness val="0"/>
    </c:sideWall>
    <c:backWall>
      <c:thickness val="0"/>
    </c:backWall>
    <c:plotArea>
      <c:layout/>
      <c:pie3DChart>
        <c:varyColors val="1"/>
        <c:ser>
          <c:idx val="0"/>
          <c:order val="0"/>
          <c:explosion val="25"/>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'MODELO LISTA DE COMPROBACIO (4)'!$B$41:$B$43</c:f>
              <c:strCache>
                <c:ptCount val="3"/>
                <c:pt idx="0">
                  <c:v>CONTENIDO </c:v>
                </c:pt>
                <c:pt idx="1">
                  <c:v>DOCUMENTACIÓN</c:v>
                </c:pt>
                <c:pt idx="2">
                  <c:v>NIVEL DE ACUERDO</c:v>
                </c:pt>
              </c:strCache>
            </c:strRef>
          </c:cat>
          <c:val>
            <c:numRef>
              <c:f>'MODELO LISTA DE COMPROBACIO (4)'!$C$41:$C$43</c:f>
              <c:numCache>
                <c:formatCode>0%</c:formatCode>
                <c:ptCount val="3"/>
                <c:pt idx="0">
                  <c:v>0.78</c:v>
                </c:pt>
                <c:pt idx="1">
                  <c:v>0.8</c:v>
                </c:pt>
                <c:pt idx="2">
                  <c:v>1</c:v>
                </c:pt>
              </c:numCache>
            </c:numRef>
          </c:val>
          <c:extLst>
            <c:ext xmlns:c16="http://schemas.microsoft.com/office/drawing/2014/chart" uri="{C3380CC4-5D6E-409C-BE32-E72D297353CC}">
              <c16:uniqueId val="{00000000-96A5-4099-9EA7-D5151FA65D17}"/>
            </c:ext>
          </c:extLst>
        </c:ser>
        <c:dLbls>
          <c:showLegendKey val="0"/>
          <c:showVal val="0"/>
          <c:showCatName val="0"/>
          <c:showSerName val="0"/>
          <c:showPercent val="1"/>
          <c:showBubbleSize val="0"/>
          <c:showLeaderLines val="1"/>
        </c:dLbls>
      </c:pie3DChart>
    </c:plotArea>
    <c:legend>
      <c:legendPos val="r"/>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247650</xdr:colOff>
      <xdr:row>33</xdr:row>
      <xdr:rowOff>490537</xdr:rowOff>
    </xdr:from>
    <xdr:to>
      <xdr:col>11</xdr:col>
      <xdr:colOff>247650</xdr:colOff>
      <xdr:row>44</xdr:row>
      <xdr:rowOff>42862</xdr:rowOff>
    </xdr:to>
    <xdr:graphicFrame macro="">
      <xdr:nvGraphicFramePr>
        <xdr:cNvPr id="6" name="5 Gráfico">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276225</xdr:colOff>
      <xdr:row>37</xdr:row>
      <xdr:rowOff>147637</xdr:rowOff>
    </xdr:from>
    <xdr:to>
      <xdr:col>9</xdr:col>
      <xdr:colOff>276225</xdr:colOff>
      <xdr:row>48</xdr:row>
      <xdr:rowOff>185737</xdr:rowOff>
    </xdr:to>
    <xdr:graphicFrame macro="">
      <xdr:nvGraphicFramePr>
        <xdr:cNvPr id="3" name="5 Gráfico">
          <a:extLst>
            <a:ext uri="{FF2B5EF4-FFF2-40B4-BE49-F238E27FC236}">
              <a16:creationId xmlns:a16="http://schemas.microsoft.com/office/drawing/2014/main" id="{8CD9B49B-75E3-4E01-B007-B4BD69BCB0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247650</xdr:colOff>
      <xdr:row>33</xdr:row>
      <xdr:rowOff>490537</xdr:rowOff>
    </xdr:from>
    <xdr:to>
      <xdr:col>11</xdr:col>
      <xdr:colOff>247650</xdr:colOff>
      <xdr:row>44</xdr:row>
      <xdr:rowOff>42862</xdr:rowOff>
    </xdr:to>
    <xdr:graphicFrame macro="">
      <xdr:nvGraphicFramePr>
        <xdr:cNvPr id="2" name="5 Gráfico">
          <a:extLst>
            <a:ext uri="{FF2B5EF4-FFF2-40B4-BE49-F238E27FC236}">
              <a16:creationId xmlns:a16="http://schemas.microsoft.com/office/drawing/2014/main" id="{BBAD7551-1C0E-4423-845E-4B80C40EFF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247650</xdr:colOff>
      <xdr:row>33</xdr:row>
      <xdr:rowOff>490537</xdr:rowOff>
    </xdr:from>
    <xdr:to>
      <xdr:col>11</xdr:col>
      <xdr:colOff>247650</xdr:colOff>
      <xdr:row>44</xdr:row>
      <xdr:rowOff>42862</xdr:rowOff>
    </xdr:to>
    <xdr:graphicFrame macro="">
      <xdr:nvGraphicFramePr>
        <xdr:cNvPr id="2" name="5 Gráfico">
          <a:extLst>
            <a:ext uri="{FF2B5EF4-FFF2-40B4-BE49-F238E27FC236}">
              <a16:creationId xmlns:a16="http://schemas.microsoft.com/office/drawing/2014/main" id="{7232E119-E676-4558-BED4-F4457401AA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a3" displayName="Tabla3" ref="A7:D16" totalsRowShown="0" headerRowDxfId="127" headerRowBorderDxfId="125" tableBorderDxfId="126" totalsRowBorderDxfId="124" headerRowCellStyle="40% - Énfasis1">
  <tableColumns count="4">
    <tableColumn id="1" xr3:uid="{00000000-0010-0000-0000-000001000000}" name="No." dataDxfId="122" totalsRowDxfId="123"/>
    <tableColumn id="2" xr3:uid="{00000000-0010-0000-0000-000002000000}" name="Pregunta" dataDxfId="120" totalsRowDxfId="121"/>
    <tableColumn id="3" xr3:uid="{00000000-0010-0000-0000-000003000000}" name="SI" dataDxfId="118" totalsRowDxfId="119"/>
    <tableColumn id="4" xr3:uid="{00000000-0010-0000-0000-000004000000}" name="NO " dataDxfId="116" totalsRowDxfId="117"/>
  </tableColumns>
  <tableStyleInfo name="TableStyleLight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Tabla4" displayName="Tabla4" ref="A21:D26" totalsRowShown="0" headerRowBorderDxfId="114" tableBorderDxfId="115" totalsRowBorderDxfId="113">
  <tableColumns count="4">
    <tableColumn id="1" xr3:uid="{00000000-0010-0000-0100-000001000000}" name="No." dataDxfId="112"/>
    <tableColumn id="2" xr3:uid="{00000000-0010-0000-0100-000002000000}" name="Pregunta" dataDxfId="111"/>
    <tableColumn id="3" xr3:uid="{00000000-0010-0000-0100-000003000000}" name="SI" dataDxfId="110"/>
    <tableColumn id="4" xr3:uid="{00000000-0010-0000-0100-000004000000}" name="NO " dataDxfId="109"/>
  </tableColumns>
  <tableStyleInfo name="TableStyleMedium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a5" displayName="Tabla5" ref="A31:D34" totalsRowShown="0" headerRowBorderDxfId="107" tableBorderDxfId="108" totalsRowBorderDxfId="106">
  <tableColumns count="4">
    <tableColumn id="1" xr3:uid="{00000000-0010-0000-0200-000001000000}" name="No." dataDxfId="105"/>
    <tableColumn id="2" xr3:uid="{00000000-0010-0000-0200-000002000000}" name="Pregunta" dataDxfId="104"/>
    <tableColumn id="3" xr3:uid="{00000000-0010-0000-0200-000003000000}" name="SI" dataDxfId="103"/>
    <tableColumn id="4" xr3:uid="{00000000-0010-0000-0200-000004000000}" name="NO " dataDxfId="10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EACDD75-BBE2-4755-99CB-95BF08B75910}" name="Tabla32" displayName="Tabla32" ref="A7:D16" totalsRowShown="0" headerRowDxfId="93" headerRowBorderDxfId="91" tableBorderDxfId="92" totalsRowBorderDxfId="90" headerRowCellStyle="40% - Énfasis1">
  <tableColumns count="4">
    <tableColumn id="1" xr3:uid="{1DDFE169-E085-4850-AC31-9882E232E4FC}" name="No." dataDxfId="88" totalsRowDxfId="89"/>
    <tableColumn id="2" xr3:uid="{90586EA2-A7BE-4A3E-A015-1650E54AE4C4}" name="Pregunta" dataDxfId="86" totalsRowDxfId="87"/>
    <tableColumn id="3" xr3:uid="{18F5971D-BF8C-42A2-B8CE-63E3A99A3AEF}" name="SI" dataDxfId="84" totalsRowDxfId="85"/>
    <tableColumn id="4" xr3:uid="{E37984CF-D912-4455-BDFA-C2FFE60F0124}" name="NO " dataDxfId="82" totalsRowDxfId="83"/>
  </tableColumns>
  <tableStyleInfo name="TableStyleLight15"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0DD25A0-7034-4B36-B5CA-758704577212}" name="Tabla43" displayName="Tabla43" ref="A21:D26" totalsRowShown="0" headerRowBorderDxfId="80" tableBorderDxfId="81" totalsRowBorderDxfId="79">
  <tableColumns count="4">
    <tableColumn id="1" xr3:uid="{2DA5DD6C-47B5-422B-96D3-8B8E73981BAB}" name="No." dataDxfId="78"/>
    <tableColumn id="2" xr3:uid="{78B89F55-B205-4B84-95A8-24CADD2664D9}" name="Pregunta" dataDxfId="77"/>
    <tableColumn id="3" xr3:uid="{186960C0-0FB7-4C1B-8DDA-80D47D75A2A1}" name="SI" dataDxfId="76"/>
    <tableColumn id="4" xr3:uid="{28196B16-1154-44AF-B60A-AEBD64B9CEB0}" name="NO " dataDxfId="75"/>
  </tableColumns>
  <tableStyleInfo name="TableStyleMedium4"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F35AC39-8769-44C9-9F0C-271DDCF7614D}" name="Tabla57" displayName="Tabla57" ref="A31:D34" totalsRowShown="0" headerRowBorderDxfId="73" tableBorderDxfId="74" totalsRowBorderDxfId="72">
  <tableColumns count="4">
    <tableColumn id="1" xr3:uid="{B55E4A60-C893-4EAD-B127-DD9D470698AB}" name="No." dataDxfId="71"/>
    <tableColumn id="2" xr3:uid="{00682D16-525B-4F73-8D6D-FA5C94635D06}" name="Pregunta" dataDxfId="70"/>
    <tableColumn id="3" xr3:uid="{B337ADD1-2AF2-4F44-8DA8-D0BB909C7616}" name="SI" dataDxfId="69"/>
    <tableColumn id="4" xr3:uid="{77A01726-EAE8-41CD-9B9A-3A2D02D8832A}" name="NO " dataDxfId="68"/>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E1C9052-E9BE-460A-857D-30A4AA0F9CB4}" name="Tabla328" displayName="Tabla328" ref="A7:D16" totalsRowShown="0" headerRowDxfId="59" headerRowBorderDxfId="57" tableBorderDxfId="58" totalsRowBorderDxfId="56" headerRowCellStyle="40% - Énfasis1">
  <tableColumns count="4">
    <tableColumn id="1" xr3:uid="{54B5FE46-C67F-42CD-A997-61259AF6E9A0}" name="No." dataDxfId="54" totalsRowDxfId="55"/>
    <tableColumn id="2" xr3:uid="{8BD66A13-9F9D-457F-B29F-0F8E75528049}" name="Pregunta" dataDxfId="52" totalsRowDxfId="53"/>
    <tableColumn id="3" xr3:uid="{D7CEC1CC-0B9B-4407-8A8F-739196FCBD19}" name="SI" dataDxfId="50" totalsRowDxfId="51"/>
    <tableColumn id="4" xr3:uid="{D12ABFB7-AADC-48E5-80F0-37DB13B1D0A6}" name="NO " dataDxfId="48" totalsRowDxfId="49"/>
  </tableColumns>
  <tableStyleInfo name="TableStyleLight15"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1225FAC3-8514-44AA-9BF5-5B26DE29320E}" name="Tabla439" displayName="Tabla439" ref="A21:D26" totalsRowShown="0" headerRowBorderDxfId="46" tableBorderDxfId="47" totalsRowBorderDxfId="45">
  <tableColumns count="4">
    <tableColumn id="1" xr3:uid="{C80E20F5-BB8F-4E85-A598-CC18C56858EF}" name="No." dataDxfId="44"/>
    <tableColumn id="2" xr3:uid="{86EC28A5-4FD0-4BD8-B3D0-2EB37CB68B10}" name="Pregunta" dataDxfId="43"/>
    <tableColumn id="3" xr3:uid="{A9505563-C1E9-4761-BA8D-9CA2150F6E20}" name="SI" dataDxfId="42"/>
    <tableColumn id="4" xr3:uid="{AE8157BA-BB42-436C-A9B0-A2D794E75F2E}" name="NO " dataDxfId="41"/>
  </tableColumns>
  <tableStyleInfo name="TableStyleMedium4"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6D1AABF-4F65-44E0-8835-7E73A09CFD4B}" name="Tabla5710" displayName="Tabla5710" ref="A31:D34" totalsRowShown="0" headerRowBorderDxfId="39" tableBorderDxfId="40" totalsRowBorderDxfId="38">
  <tableColumns count="4">
    <tableColumn id="1" xr3:uid="{A0901FCF-52EF-4E22-AA6B-D0F71A151DCD}" name="No." dataDxfId="37"/>
    <tableColumn id="2" xr3:uid="{944E28DF-B8BC-495E-BD4F-09D03C5D1501}" name="Pregunta" dataDxfId="36"/>
    <tableColumn id="3" xr3:uid="{3ED2ED34-8089-4F78-912D-874FC0BA80AE}" name="SI" dataDxfId="35"/>
    <tableColumn id="4" xr3:uid="{390F1058-F018-4A70-9EC9-7C92D3816218}" name="NO " dataDxfId="34"/>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23033200-BE23-49BE-8549-38189330384C}" name="Tabla32811" displayName="Tabla32811" ref="A7:D16" totalsRowShown="0" headerRowDxfId="25" headerRowBorderDxfId="23" tableBorderDxfId="24" totalsRowBorderDxfId="22" headerRowCellStyle="40% - Énfasis1">
  <tableColumns count="4">
    <tableColumn id="1" xr3:uid="{A3A9B3BE-1559-43A1-B26D-5D7B579CE2AC}" name="No." dataDxfId="20" totalsRowDxfId="21"/>
    <tableColumn id="2" xr3:uid="{963AF059-7B60-4A60-A604-CB927354253A}" name="Pregunta" dataDxfId="18" totalsRowDxfId="19"/>
    <tableColumn id="3" xr3:uid="{C5F31659-2AA2-4660-A8B5-C2607319481B}" name="SI" dataDxfId="16" totalsRowDxfId="17"/>
    <tableColumn id="4" xr3:uid="{ACE1ED73-F214-44EE-8DDD-E5BDBDBE5EED}" name="NO " dataDxfId="14" totalsRowDxfId="15"/>
  </tableColumns>
  <tableStyleInfo name="TableStyleLight15"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77A7DB0-070D-4BEF-A6CB-D0662464DE30}" name="Tabla43912" displayName="Tabla43912" ref="A21:D26" totalsRowShown="0" headerRowBorderDxfId="12" tableBorderDxfId="13" totalsRowBorderDxfId="11">
  <tableColumns count="4">
    <tableColumn id="1" xr3:uid="{5EF333A8-5116-4F6A-B990-73CB1ED6AE7B}" name="No." dataDxfId="10"/>
    <tableColumn id="2" xr3:uid="{AB74A334-88AA-477D-BA6F-F5044970D2E1}" name="Pregunta" dataDxfId="9"/>
    <tableColumn id="3" xr3:uid="{D367AB38-1191-4D5A-B68C-4FE9C15189E8}" name="SI" dataDxfId="8"/>
    <tableColumn id="4" xr3:uid="{C9155F87-E68C-4088-A247-5860A65BE2A4}" name="NO " dataDxfId="7"/>
  </tableColumns>
  <tableStyleInfo name="TableStyleMedium4"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9D53523-81A5-45B7-BA64-96F1E8BE10FB}" name="Tabla571013" displayName="Tabla571013" ref="A31:D34" totalsRowShown="0" headerRowBorderDxfId="5" tableBorderDxfId="6" totalsRowBorderDxfId="4">
  <tableColumns count="4">
    <tableColumn id="1" xr3:uid="{D846D523-1260-4BF8-B9F8-422F9AFD1462}" name="No." dataDxfId="3"/>
    <tableColumn id="2" xr3:uid="{C7D8EC90-7EFF-4663-B8E5-792B139DD4D5}" name="Pregunta" dataDxfId="2"/>
    <tableColumn id="3" xr3:uid="{46B5D3E9-1540-40FB-9622-7D7F7950F71E}" name="SI" dataDxfId="1"/>
    <tableColumn id="4" xr3:uid="{B2CB642A-2C86-466E-A648-2F9B5ACB3A47}" name="NO " dataDxfId="0"/>
  </tableColumns>
  <tableStyleInfo name="TableStyleMedium7"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table" Target="../tables/table3.xml"/><Relationship Id="rId5" Type="http://schemas.openxmlformats.org/officeDocument/2006/relationships/table" Target="../tables/table2.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3.vml"/><Relationship Id="rId1" Type="http://schemas.openxmlformats.org/officeDocument/2006/relationships/drawing" Target="../drawings/drawing2.xml"/><Relationship Id="rId6" Type="http://schemas.openxmlformats.org/officeDocument/2006/relationships/comments" Target="../comments3.xml"/><Relationship Id="rId5" Type="http://schemas.openxmlformats.org/officeDocument/2006/relationships/table" Target="../tables/table6.xml"/><Relationship Id="rId4" Type="http://schemas.openxmlformats.org/officeDocument/2006/relationships/table" Target="../tables/table5.xml"/></Relationships>
</file>

<file path=xl/worksheets/_rels/sheet4.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vmlDrawing" Target="../drawings/vmlDrawing4.vml"/><Relationship Id="rId1" Type="http://schemas.openxmlformats.org/officeDocument/2006/relationships/drawing" Target="../drawings/drawing3.xml"/><Relationship Id="rId6" Type="http://schemas.openxmlformats.org/officeDocument/2006/relationships/comments" Target="../comments4.xml"/><Relationship Id="rId5" Type="http://schemas.openxmlformats.org/officeDocument/2006/relationships/table" Target="../tables/table9.xml"/><Relationship Id="rId4" Type="http://schemas.openxmlformats.org/officeDocument/2006/relationships/table" Target="../tables/table8.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vmlDrawing" Target="../drawings/vmlDrawing5.vml"/><Relationship Id="rId1" Type="http://schemas.openxmlformats.org/officeDocument/2006/relationships/drawing" Target="../drawings/drawing4.xml"/><Relationship Id="rId6" Type="http://schemas.openxmlformats.org/officeDocument/2006/relationships/comments" Target="../comments5.xml"/><Relationship Id="rId5" Type="http://schemas.openxmlformats.org/officeDocument/2006/relationships/table" Target="../tables/table12.xml"/><Relationship Id="rId4"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J19"/>
  <sheetViews>
    <sheetView showGridLines="0" topLeftCell="I17" zoomScale="90" zoomScaleNormal="90" zoomScalePageLayoutView="90" workbookViewId="0">
      <selection activeCell="F17" sqref="F17:I17"/>
    </sheetView>
  </sheetViews>
  <sheetFormatPr defaultColWidth="11.42578125" defaultRowHeight="14.45"/>
  <cols>
    <col min="1" max="1" width="4.5703125" customWidth="1"/>
    <col min="2" max="2" width="4.42578125" customWidth="1"/>
    <col min="3" max="3" width="3.7109375" style="1" customWidth="1"/>
    <col min="4" max="4" width="34.7109375" customWidth="1"/>
    <col min="5" max="5" width="14.28515625" customWidth="1"/>
    <col min="6" max="6" width="42.7109375" bestFit="1" customWidth="1"/>
    <col min="7" max="7" width="4.7109375" hidden="1" customWidth="1"/>
    <col min="8" max="9" width="42.7109375" bestFit="1" customWidth="1"/>
    <col min="10" max="10" width="35.7109375" customWidth="1"/>
    <col min="11" max="63" width="2.7109375" customWidth="1"/>
    <col min="208" max="212" width="2.7109375" customWidth="1"/>
    <col min="213" max="214" width="3.7109375" customWidth="1"/>
    <col min="215" max="215" width="32" customWidth="1"/>
    <col min="216" max="218" width="14.5703125" customWidth="1"/>
    <col min="219" max="219" width="8.7109375" customWidth="1"/>
    <col min="220" max="233" width="3.7109375" customWidth="1"/>
    <col min="234" max="259" width="4.7109375" customWidth="1"/>
    <col min="260" max="319" width="2.7109375" customWidth="1"/>
    <col min="464" max="468" width="2.7109375" customWidth="1"/>
    <col min="469" max="470" width="3.7109375" customWidth="1"/>
    <col min="471" max="471" width="32" customWidth="1"/>
    <col min="472" max="474" width="14.5703125" customWidth="1"/>
    <col min="475" max="475" width="8.7109375" customWidth="1"/>
    <col min="476" max="489" width="3.7109375" customWidth="1"/>
    <col min="490" max="515" width="4.7109375" customWidth="1"/>
    <col min="516" max="575" width="2.7109375" customWidth="1"/>
    <col min="720" max="724" width="2.7109375" customWidth="1"/>
    <col min="725" max="726" width="3.7109375" customWidth="1"/>
    <col min="727" max="727" width="32" customWidth="1"/>
    <col min="728" max="730" width="14.5703125" customWidth="1"/>
    <col min="731" max="731" width="8.7109375" customWidth="1"/>
    <col min="732" max="745" width="3.7109375" customWidth="1"/>
    <col min="746" max="771" width="4.7109375" customWidth="1"/>
    <col min="772" max="831" width="2.7109375" customWidth="1"/>
    <col min="976" max="980" width="2.7109375" customWidth="1"/>
    <col min="981" max="982" width="3.7109375" customWidth="1"/>
    <col min="983" max="983" width="32" customWidth="1"/>
    <col min="984" max="986" width="14.5703125" customWidth="1"/>
    <col min="987" max="987" width="8.7109375" customWidth="1"/>
    <col min="988" max="1001" width="3.7109375" customWidth="1"/>
    <col min="1002" max="1027" width="4.7109375" customWidth="1"/>
    <col min="1028" max="1087" width="2.7109375" customWidth="1"/>
    <col min="1232" max="1236" width="2.7109375" customWidth="1"/>
    <col min="1237" max="1238" width="3.7109375" customWidth="1"/>
    <col min="1239" max="1239" width="32" customWidth="1"/>
    <col min="1240" max="1242" width="14.5703125" customWidth="1"/>
    <col min="1243" max="1243" width="8.7109375" customWidth="1"/>
    <col min="1244" max="1257" width="3.7109375" customWidth="1"/>
    <col min="1258" max="1283" width="4.7109375" customWidth="1"/>
    <col min="1284" max="1343" width="2.7109375" customWidth="1"/>
    <col min="1488" max="1492" width="2.7109375" customWidth="1"/>
    <col min="1493" max="1494" width="3.7109375" customWidth="1"/>
    <col min="1495" max="1495" width="32" customWidth="1"/>
    <col min="1496" max="1498" width="14.5703125" customWidth="1"/>
    <col min="1499" max="1499" width="8.7109375" customWidth="1"/>
    <col min="1500" max="1513" width="3.7109375" customWidth="1"/>
    <col min="1514" max="1539" width="4.7109375" customWidth="1"/>
    <col min="1540" max="1599" width="2.7109375" customWidth="1"/>
    <col min="1744" max="1748" width="2.7109375" customWidth="1"/>
    <col min="1749" max="1750" width="3.7109375" customWidth="1"/>
    <col min="1751" max="1751" width="32" customWidth="1"/>
    <col min="1752" max="1754" width="14.5703125" customWidth="1"/>
    <col min="1755" max="1755" width="8.7109375" customWidth="1"/>
    <col min="1756" max="1769" width="3.7109375" customWidth="1"/>
    <col min="1770" max="1795" width="4.7109375" customWidth="1"/>
    <col min="1796" max="1855" width="2.7109375" customWidth="1"/>
    <col min="2000" max="2004" width="2.7109375" customWidth="1"/>
    <col min="2005" max="2006" width="3.7109375" customWidth="1"/>
    <col min="2007" max="2007" width="32" customWidth="1"/>
    <col min="2008" max="2010" width="14.5703125" customWidth="1"/>
    <col min="2011" max="2011" width="8.7109375" customWidth="1"/>
    <col min="2012" max="2025" width="3.7109375" customWidth="1"/>
    <col min="2026" max="2051" width="4.7109375" customWidth="1"/>
    <col min="2052" max="2111" width="2.7109375" customWidth="1"/>
    <col min="2256" max="2260" width="2.7109375" customWidth="1"/>
    <col min="2261" max="2262" width="3.7109375" customWidth="1"/>
    <col min="2263" max="2263" width="32" customWidth="1"/>
    <col min="2264" max="2266" width="14.5703125" customWidth="1"/>
    <col min="2267" max="2267" width="8.7109375" customWidth="1"/>
    <col min="2268" max="2281" width="3.7109375" customWidth="1"/>
    <col min="2282" max="2307" width="4.7109375" customWidth="1"/>
    <col min="2308" max="2367" width="2.7109375" customWidth="1"/>
    <col min="2512" max="2516" width="2.7109375" customWidth="1"/>
    <col min="2517" max="2518" width="3.7109375" customWidth="1"/>
    <col min="2519" max="2519" width="32" customWidth="1"/>
    <col min="2520" max="2522" width="14.5703125" customWidth="1"/>
    <col min="2523" max="2523" width="8.7109375" customWidth="1"/>
    <col min="2524" max="2537" width="3.7109375" customWidth="1"/>
    <col min="2538" max="2563" width="4.7109375" customWidth="1"/>
    <col min="2564" max="2623" width="2.7109375" customWidth="1"/>
    <col min="2768" max="2772" width="2.7109375" customWidth="1"/>
    <col min="2773" max="2774" width="3.7109375" customWidth="1"/>
    <col min="2775" max="2775" width="32" customWidth="1"/>
    <col min="2776" max="2778" width="14.5703125" customWidth="1"/>
    <col min="2779" max="2779" width="8.7109375" customWidth="1"/>
    <col min="2780" max="2793" width="3.7109375" customWidth="1"/>
    <col min="2794" max="2819" width="4.7109375" customWidth="1"/>
    <col min="2820" max="2879" width="2.7109375" customWidth="1"/>
    <col min="3024" max="3028" width="2.7109375" customWidth="1"/>
    <col min="3029" max="3030" width="3.7109375" customWidth="1"/>
    <col min="3031" max="3031" width="32" customWidth="1"/>
    <col min="3032" max="3034" width="14.5703125" customWidth="1"/>
    <col min="3035" max="3035" width="8.7109375" customWidth="1"/>
    <col min="3036" max="3049" width="3.7109375" customWidth="1"/>
    <col min="3050" max="3075" width="4.7109375" customWidth="1"/>
    <col min="3076" max="3135" width="2.7109375" customWidth="1"/>
    <col min="3280" max="3284" width="2.7109375" customWidth="1"/>
    <col min="3285" max="3286" width="3.7109375" customWidth="1"/>
    <col min="3287" max="3287" width="32" customWidth="1"/>
    <col min="3288" max="3290" width="14.5703125" customWidth="1"/>
    <col min="3291" max="3291" width="8.7109375" customWidth="1"/>
    <col min="3292" max="3305" width="3.7109375" customWidth="1"/>
    <col min="3306" max="3331" width="4.7109375" customWidth="1"/>
    <col min="3332" max="3391" width="2.7109375" customWidth="1"/>
    <col min="3536" max="3540" width="2.7109375" customWidth="1"/>
    <col min="3541" max="3542" width="3.7109375" customWidth="1"/>
    <col min="3543" max="3543" width="32" customWidth="1"/>
    <col min="3544" max="3546" width="14.5703125" customWidth="1"/>
    <col min="3547" max="3547" width="8.7109375" customWidth="1"/>
    <col min="3548" max="3561" width="3.7109375" customWidth="1"/>
    <col min="3562" max="3587" width="4.7109375" customWidth="1"/>
    <col min="3588" max="3647" width="2.7109375" customWidth="1"/>
    <col min="3792" max="3796" width="2.7109375" customWidth="1"/>
    <col min="3797" max="3798" width="3.7109375" customWidth="1"/>
    <col min="3799" max="3799" width="32" customWidth="1"/>
    <col min="3800" max="3802" width="14.5703125" customWidth="1"/>
    <col min="3803" max="3803" width="8.7109375" customWidth="1"/>
    <col min="3804" max="3817" width="3.7109375" customWidth="1"/>
    <col min="3818" max="3843" width="4.7109375" customWidth="1"/>
    <col min="3844" max="3903" width="2.7109375" customWidth="1"/>
    <col min="4048" max="4052" width="2.7109375" customWidth="1"/>
    <col min="4053" max="4054" width="3.7109375" customWidth="1"/>
    <col min="4055" max="4055" width="32" customWidth="1"/>
    <col min="4056" max="4058" width="14.5703125" customWidth="1"/>
    <col min="4059" max="4059" width="8.7109375" customWidth="1"/>
    <col min="4060" max="4073" width="3.7109375" customWidth="1"/>
    <col min="4074" max="4099" width="4.7109375" customWidth="1"/>
    <col min="4100" max="4159" width="2.7109375" customWidth="1"/>
    <col min="4304" max="4308" width="2.7109375" customWidth="1"/>
    <col min="4309" max="4310" width="3.7109375" customWidth="1"/>
    <col min="4311" max="4311" width="32" customWidth="1"/>
    <col min="4312" max="4314" width="14.5703125" customWidth="1"/>
    <col min="4315" max="4315" width="8.7109375" customWidth="1"/>
    <col min="4316" max="4329" width="3.7109375" customWidth="1"/>
    <col min="4330" max="4355" width="4.7109375" customWidth="1"/>
    <col min="4356" max="4415" width="2.7109375" customWidth="1"/>
    <col min="4560" max="4564" width="2.7109375" customWidth="1"/>
    <col min="4565" max="4566" width="3.7109375" customWidth="1"/>
    <col min="4567" max="4567" width="32" customWidth="1"/>
    <col min="4568" max="4570" width="14.5703125" customWidth="1"/>
    <col min="4571" max="4571" width="8.7109375" customWidth="1"/>
    <col min="4572" max="4585" width="3.7109375" customWidth="1"/>
    <col min="4586" max="4611" width="4.7109375" customWidth="1"/>
    <col min="4612" max="4671" width="2.7109375" customWidth="1"/>
    <col min="4816" max="4820" width="2.7109375" customWidth="1"/>
    <col min="4821" max="4822" width="3.7109375" customWidth="1"/>
    <col min="4823" max="4823" width="32" customWidth="1"/>
    <col min="4824" max="4826" width="14.5703125" customWidth="1"/>
    <col min="4827" max="4827" width="8.7109375" customWidth="1"/>
    <col min="4828" max="4841" width="3.7109375" customWidth="1"/>
    <col min="4842" max="4867" width="4.7109375" customWidth="1"/>
    <col min="4868" max="4927" width="2.7109375" customWidth="1"/>
    <col min="5072" max="5076" width="2.7109375" customWidth="1"/>
    <col min="5077" max="5078" width="3.7109375" customWidth="1"/>
    <col min="5079" max="5079" width="32" customWidth="1"/>
    <col min="5080" max="5082" width="14.5703125" customWidth="1"/>
    <col min="5083" max="5083" width="8.7109375" customWidth="1"/>
    <col min="5084" max="5097" width="3.7109375" customWidth="1"/>
    <col min="5098" max="5123" width="4.7109375" customWidth="1"/>
    <col min="5124" max="5183" width="2.7109375" customWidth="1"/>
    <col min="5328" max="5332" width="2.7109375" customWidth="1"/>
    <col min="5333" max="5334" width="3.7109375" customWidth="1"/>
    <col min="5335" max="5335" width="32" customWidth="1"/>
    <col min="5336" max="5338" width="14.5703125" customWidth="1"/>
    <col min="5339" max="5339" width="8.7109375" customWidth="1"/>
    <col min="5340" max="5353" width="3.7109375" customWidth="1"/>
    <col min="5354" max="5379" width="4.7109375" customWidth="1"/>
    <col min="5380" max="5439" width="2.7109375" customWidth="1"/>
    <col min="5584" max="5588" width="2.7109375" customWidth="1"/>
    <col min="5589" max="5590" width="3.7109375" customWidth="1"/>
    <col min="5591" max="5591" width="32" customWidth="1"/>
    <col min="5592" max="5594" width="14.5703125" customWidth="1"/>
    <col min="5595" max="5595" width="8.7109375" customWidth="1"/>
    <col min="5596" max="5609" width="3.7109375" customWidth="1"/>
    <col min="5610" max="5635" width="4.7109375" customWidth="1"/>
    <col min="5636" max="5695" width="2.7109375" customWidth="1"/>
    <col min="5840" max="5844" width="2.7109375" customWidth="1"/>
    <col min="5845" max="5846" width="3.7109375" customWidth="1"/>
    <col min="5847" max="5847" width="32" customWidth="1"/>
    <col min="5848" max="5850" width="14.5703125" customWidth="1"/>
    <col min="5851" max="5851" width="8.7109375" customWidth="1"/>
    <col min="5852" max="5865" width="3.7109375" customWidth="1"/>
    <col min="5866" max="5891" width="4.7109375" customWidth="1"/>
    <col min="5892" max="5951" width="2.7109375" customWidth="1"/>
    <col min="6096" max="6100" width="2.7109375" customWidth="1"/>
    <col min="6101" max="6102" width="3.7109375" customWidth="1"/>
    <col min="6103" max="6103" width="32" customWidth="1"/>
    <col min="6104" max="6106" width="14.5703125" customWidth="1"/>
    <col min="6107" max="6107" width="8.7109375" customWidth="1"/>
    <col min="6108" max="6121" width="3.7109375" customWidth="1"/>
    <col min="6122" max="6147" width="4.7109375" customWidth="1"/>
    <col min="6148" max="6207" width="2.7109375" customWidth="1"/>
    <col min="6352" max="6356" width="2.7109375" customWidth="1"/>
    <col min="6357" max="6358" width="3.7109375" customWidth="1"/>
    <col min="6359" max="6359" width="32" customWidth="1"/>
    <col min="6360" max="6362" width="14.5703125" customWidth="1"/>
    <col min="6363" max="6363" width="8.7109375" customWidth="1"/>
    <col min="6364" max="6377" width="3.7109375" customWidth="1"/>
    <col min="6378" max="6403" width="4.7109375" customWidth="1"/>
    <col min="6404" max="6463" width="2.7109375" customWidth="1"/>
    <col min="6608" max="6612" width="2.7109375" customWidth="1"/>
    <col min="6613" max="6614" width="3.7109375" customWidth="1"/>
    <col min="6615" max="6615" width="32" customWidth="1"/>
    <col min="6616" max="6618" width="14.5703125" customWidth="1"/>
    <col min="6619" max="6619" width="8.7109375" customWidth="1"/>
    <col min="6620" max="6633" width="3.7109375" customWidth="1"/>
    <col min="6634" max="6659" width="4.7109375" customWidth="1"/>
    <col min="6660" max="6719" width="2.7109375" customWidth="1"/>
    <col min="6864" max="6868" width="2.7109375" customWidth="1"/>
    <col min="6869" max="6870" width="3.7109375" customWidth="1"/>
    <col min="6871" max="6871" width="32" customWidth="1"/>
    <col min="6872" max="6874" width="14.5703125" customWidth="1"/>
    <col min="6875" max="6875" width="8.7109375" customWidth="1"/>
    <col min="6876" max="6889" width="3.7109375" customWidth="1"/>
    <col min="6890" max="6915" width="4.7109375" customWidth="1"/>
    <col min="6916" max="6975" width="2.7109375" customWidth="1"/>
    <col min="7120" max="7124" width="2.7109375" customWidth="1"/>
    <col min="7125" max="7126" width="3.7109375" customWidth="1"/>
    <col min="7127" max="7127" width="32" customWidth="1"/>
    <col min="7128" max="7130" width="14.5703125" customWidth="1"/>
    <col min="7131" max="7131" width="8.7109375" customWidth="1"/>
    <col min="7132" max="7145" width="3.7109375" customWidth="1"/>
    <col min="7146" max="7171" width="4.7109375" customWidth="1"/>
    <col min="7172" max="7231" width="2.7109375" customWidth="1"/>
    <col min="7376" max="7380" width="2.7109375" customWidth="1"/>
    <col min="7381" max="7382" width="3.7109375" customWidth="1"/>
    <col min="7383" max="7383" width="32" customWidth="1"/>
    <col min="7384" max="7386" width="14.5703125" customWidth="1"/>
    <col min="7387" max="7387" width="8.7109375" customWidth="1"/>
    <col min="7388" max="7401" width="3.7109375" customWidth="1"/>
    <col min="7402" max="7427" width="4.7109375" customWidth="1"/>
    <col min="7428" max="7487" width="2.7109375" customWidth="1"/>
    <col min="7632" max="7636" width="2.7109375" customWidth="1"/>
    <col min="7637" max="7638" width="3.7109375" customWidth="1"/>
    <col min="7639" max="7639" width="32" customWidth="1"/>
    <col min="7640" max="7642" width="14.5703125" customWidth="1"/>
    <col min="7643" max="7643" width="8.7109375" customWidth="1"/>
    <col min="7644" max="7657" width="3.7109375" customWidth="1"/>
    <col min="7658" max="7683" width="4.7109375" customWidth="1"/>
    <col min="7684" max="7743" width="2.7109375" customWidth="1"/>
    <col min="7888" max="7892" width="2.7109375" customWidth="1"/>
    <col min="7893" max="7894" width="3.7109375" customWidth="1"/>
    <col min="7895" max="7895" width="32" customWidth="1"/>
    <col min="7896" max="7898" width="14.5703125" customWidth="1"/>
    <col min="7899" max="7899" width="8.7109375" customWidth="1"/>
    <col min="7900" max="7913" width="3.7109375" customWidth="1"/>
    <col min="7914" max="7939" width="4.7109375" customWidth="1"/>
    <col min="7940" max="7999" width="2.7109375" customWidth="1"/>
    <col min="8144" max="8148" width="2.7109375" customWidth="1"/>
    <col min="8149" max="8150" width="3.7109375" customWidth="1"/>
    <col min="8151" max="8151" width="32" customWidth="1"/>
    <col min="8152" max="8154" width="14.5703125" customWidth="1"/>
    <col min="8155" max="8155" width="8.7109375" customWidth="1"/>
    <col min="8156" max="8169" width="3.7109375" customWidth="1"/>
    <col min="8170" max="8195" width="4.7109375" customWidth="1"/>
    <col min="8196" max="8255" width="2.7109375" customWidth="1"/>
    <col min="8400" max="8404" width="2.7109375" customWidth="1"/>
    <col min="8405" max="8406" width="3.7109375" customWidth="1"/>
    <col min="8407" max="8407" width="32" customWidth="1"/>
    <col min="8408" max="8410" width="14.5703125" customWidth="1"/>
    <col min="8411" max="8411" width="8.7109375" customWidth="1"/>
    <col min="8412" max="8425" width="3.7109375" customWidth="1"/>
    <col min="8426" max="8451" width="4.7109375" customWidth="1"/>
    <col min="8452" max="8511" width="2.7109375" customWidth="1"/>
    <col min="8656" max="8660" width="2.7109375" customWidth="1"/>
    <col min="8661" max="8662" width="3.7109375" customWidth="1"/>
    <col min="8663" max="8663" width="32" customWidth="1"/>
    <col min="8664" max="8666" width="14.5703125" customWidth="1"/>
    <col min="8667" max="8667" width="8.7109375" customWidth="1"/>
    <col min="8668" max="8681" width="3.7109375" customWidth="1"/>
    <col min="8682" max="8707" width="4.7109375" customWidth="1"/>
    <col min="8708" max="8767" width="2.7109375" customWidth="1"/>
    <col min="8912" max="8916" width="2.7109375" customWidth="1"/>
    <col min="8917" max="8918" width="3.7109375" customWidth="1"/>
    <col min="8919" max="8919" width="32" customWidth="1"/>
    <col min="8920" max="8922" width="14.5703125" customWidth="1"/>
    <col min="8923" max="8923" width="8.7109375" customWidth="1"/>
    <col min="8924" max="8937" width="3.7109375" customWidth="1"/>
    <col min="8938" max="8963" width="4.7109375" customWidth="1"/>
    <col min="8964" max="9023" width="2.7109375" customWidth="1"/>
    <col min="9168" max="9172" width="2.7109375" customWidth="1"/>
    <col min="9173" max="9174" width="3.7109375" customWidth="1"/>
    <col min="9175" max="9175" width="32" customWidth="1"/>
    <col min="9176" max="9178" width="14.5703125" customWidth="1"/>
    <col min="9179" max="9179" width="8.7109375" customWidth="1"/>
    <col min="9180" max="9193" width="3.7109375" customWidth="1"/>
    <col min="9194" max="9219" width="4.7109375" customWidth="1"/>
    <col min="9220" max="9279" width="2.7109375" customWidth="1"/>
    <col min="9424" max="9428" width="2.7109375" customWidth="1"/>
    <col min="9429" max="9430" width="3.7109375" customWidth="1"/>
    <col min="9431" max="9431" width="32" customWidth="1"/>
    <col min="9432" max="9434" width="14.5703125" customWidth="1"/>
    <col min="9435" max="9435" width="8.7109375" customWidth="1"/>
    <col min="9436" max="9449" width="3.7109375" customWidth="1"/>
    <col min="9450" max="9475" width="4.7109375" customWidth="1"/>
    <col min="9476" max="9535" width="2.7109375" customWidth="1"/>
    <col min="9680" max="9684" width="2.7109375" customWidth="1"/>
    <col min="9685" max="9686" width="3.7109375" customWidth="1"/>
    <col min="9687" max="9687" width="32" customWidth="1"/>
    <col min="9688" max="9690" width="14.5703125" customWidth="1"/>
    <col min="9691" max="9691" width="8.7109375" customWidth="1"/>
    <col min="9692" max="9705" width="3.7109375" customWidth="1"/>
    <col min="9706" max="9731" width="4.7109375" customWidth="1"/>
    <col min="9732" max="9791" width="2.7109375" customWidth="1"/>
    <col min="9936" max="9940" width="2.7109375" customWidth="1"/>
    <col min="9941" max="9942" width="3.7109375" customWidth="1"/>
    <col min="9943" max="9943" width="32" customWidth="1"/>
    <col min="9944" max="9946" width="14.5703125" customWidth="1"/>
    <col min="9947" max="9947" width="8.7109375" customWidth="1"/>
    <col min="9948" max="9961" width="3.7109375" customWidth="1"/>
    <col min="9962" max="9987" width="4.7109375" customWidth="1"/>
    <col min="9988" max="10047" width="2.7109375" customWidth="1"/>
    <col min="10192" max="10196" width="2.7109375" customWidth="1"/>
    <col min="10197" max="10198" width="3.7109375" customWidth="1"/>
    <col min="10199" max="10199" width="32" customWidth="1"/>
    <col min="10200" max="10202" width="14.5703125" customWidth="1"/>
    <col min="10203" max="10203" width="8.7109375" customWidth="1"/>
    <col min="10204" max="10217" width="3.7109375" customWidth="1"/>
    <col min="10218" max="10243" width="4.7109375" customWidth="1"/>
    <col min="10244" max="10303" width="2.7109375" customWidth="1"/>
    <col min="10448" max="10452" width="2.7109375" customWidth="1"/>
    <col min="10453" max="10454" width="3.7109375" customWidth="1"/>
    <col min="10455" max="10455" width="32" customWidth="1"/>
    <col min="10456" max="10458" width="14.5703125" customWidth="1"/>
    <col min="10459" max="10459" width="8.7109375" customWidth="1"/>
    <col min="10460" max="10473" width="3.7109375" customWidth="1"/>
    <col min="10474" max="10499" width="4.7109375" customWidth="1"/>
    <col min="10500" max="10559" width="2.7109375" customWidth="1"/>
    <col min="10704" max="10708" width="2.7109375" customWidth="1"/>
    <col min="10709" max="10710" width="3.7109375" customWidth="1"/>
    <col min="10711" max="10711" width="32" customWidth="1"/>
    <col min="10712" max="10714" width="14.5703125" customWidth="1"/>
    <col min="10715" max="10715" width="8.7109375" customWidth="1"/>
    <col min="10716" max="10729" width="3.7109375" customWidth="1"/>
    <col min="10730" max="10755" width="4.7109375" customWidth="1"/>
    <col min="10756" max="10815" width="2.7109375" customWidth="1"/>
    <col min="10960" max="10964" width="2.7109375" customWidth="1"/>
    <col min="10965" max="10966" width="3.7109375" customWidth="1"/>
    <col min="10967" max="10967" width="32" customWidth="1"/>
    <col min="10968" max="10970" width="14.5703125" customWidth="1"/>
    <col min="10971" max="10971" width="8.7109375" customWidth="1"/>
    <col min="10972" max="10985" width="3.7109375" customWidth="1"/>
    <col min="10986" max="11011" width="4.7109375" customWidth="1"/>
    <col min="11012" max="11071" width="2.7109375" customWidth="1"/>
    <col min="11216" max="11220" width="2.7109375" customWidth="1"/>
    <col min="11221" max="11222" width="3.7109375" customWidth="1"/>
    <col min="11223" max="11223" width="32" customWidth="1"/>
    <col min="11224" max="11226" width="14.5703125" customWidth="1"/>
    <col min="11227" max="11227" width="8.7109375" customWidth="1"/>
    <col min="11228" max="11241" width="3.7109375" customWidth="1"/>
    <col min="11242" max="11267" width="4.7109375" customWidth="1"/>
    <col min="11268" max="11327" width="2.7109375" customWidth="1"/>
    <col min="11472" max="11476" width="2.7109375" customWidth="1"/>
    <col min="11477" max="11478" width="3.7109375" customWidth="1"/>
    <col min="11479" max="11479" width="32" customWidth="1"/>
    <col min="11480" max="11482" width="14.5703125" customWidth="1"/>
    <col min="11483" max="11483" width="8.7109375" customWidth="1"/>
    <col min="11484" max="11497" width="3.7109375" customWidth="1"/>
    <col min="11498" max="11523" width="4.7109375" customWidth="1"/>
    <col min="11524" max="11583" width="2.7109375" customWidth="1"/>
    <col min="11728" max="11732" width="2.7109375" customWidth="1"/>
    <col min="11733" max="11734" width="3.7109375" customWidth="1"/>
    <col min="11735" max="11735" width="32" customWidth="1"/>
    <col min="11736" max="11738" width="14.5703125" customWidth="1"/>
    <col min="11739" max="11739" width="8.7109375" customWidth="1"/>
    <col min="11740" max="11753" width="3.7109375" customWidth="1"/>
    <col min="11754" max="11779" width="4.7109375" customWidth="1"/>
    <col min="11780" max="11839" width="2.7109375" customWidth="1"/>
    <col min="11984" max="11988" width="2.7109375" customWidth="1"/>
    <col min="11989" max="11990" width="3.7109375" customWidth="1"/>
    <col min="11991" max="11991" width="32" customWidth="1"/>
    <col min="11992" max="11994" width="14.5703125" customWidth="1"/>
    <col min="11995" max="11995" width="8.7109375" customWidth="1"/>
    <col min="11996" max="12009" width="3.7109375" customWidth="1"/>
    <col min="12010" max="12035" width="4.7109375" customWidth="1"/>
    <col min="12036" max="12095" width="2.7109375" customWidth="1"/>
    <col min="12240" max="12244" width="2.7109375" customWidth="1"/>
    <col min="12245" max="12246" width="3.7109375" customWidth="1"/>
    <col min="12247" max="12247" width="32" customWidth="1"/>
    <col min="12248" max="12250" width="14.5703125" customWidth="1"/>
    <col min="12251" max="12251" width="8.7109375" customWidth="1"/>
    <col min="12252" max="12265" width="3.7109375" customWidth="1"/>
    <col min="12266" max="12291" width="4.7109375" customWidth="1"/>
    <col min="12292" max="12351" width="2.7109375" customWidth="1"/>
    <col min="12496" max="12500" width="2.7109375" customWidth="1"/>
    <col min="12501" max="12502" width="3.7109375" customWidth="1"/>
    <col min="12503" max="12503" width="32" customWidth="1"/>
    <col min="12504" max="12506" width="14.5703125" customWidth="1"/>
    <col min="12507" max="12507" width="8.7109375" customWidth="1"/>
    <col min="12508" max="12521" width="3.7109375" customWidth="1"/>
    <col min="12522" max="12547" width="4.7109375" customWidth="1"/>
    <col min="12548" max="12607" width="2.7109375" customWidth="1"/>
    <col min="12752" max="12756" width="2.7109375" customWidth="1"/>
    <col min="12757" max="12758" width="3.7109375" customWidth="1"/>
    <col min="12759" max="12759" width="32" customWidth="1"/>
    <col min="12760" max="12762" width="14.5703125" customWidth="1"/>
    <col min="12763" max="12763" width="8.7109375" customWidth="1"/>
    <col min="12764" max="12777" width="3.7109375" customWidth="1"/>
    <col min="12778" max="12803" width="4.7109375" customWidth="1"/>
    <col min="12804" max="12863" width="2.7109375" customWidth="1"/>
    <col min="13008" max="13012" width="2.7109375" customWidth="1"/>
    <col min="13013" max="13014" width="3.7109375" customWidth="1"/>
    <col min="13015" max="13015" width="32" customWidth="1"/>
    <col min="13016" max="13018" width="14.5703125" customWidth="1"/>
    <col min="13019" max="13019" width="8.7109375" customWidth="1"/>
    <col min="13020" max="13033" width="3.7109375" customWidth="1"/>
    <col min="13034" max="13059" width="4.7109375" customWidth="1"/>
    <col min="13060" max="13119" width="2.7109375" customWidth="1"/>
    <col min="13264" max="13268" width="2.7109375" customWidth="1"/>
    <col min="13269" max="13270" width="3.7109375" customWidth="1"/>
    <col min="13271" max="13271" width="32" customWidth="1"/>
    <col min="13272" max="13274" width="14.5703125" customWidth="1"/>
    <col min="13275" max="13275" width="8.7109375" customWidth="1"/>
    <col min="13276" max="13289" width="3.7109375" customWidth="1"/>
    <col min="13290" max="13315" width="4.7109375" customWidth="1"/>
    <col min="13316" max="13375" width="2.7109375" customWidth="1"/>
    <col min="13520" max="13524" width="2.7109375" customWidth="1"/>
    <col min="13525" max="13526" width="3.7109375" customWidth="1"/>
    <col min="13527" max="13527" width="32" customWidth="1"/>
    <col min="13528" max="13530" width="14.5703125" customWidth="1"/>
    <col min="13531" max="13531" width="8.7109375" customWidth="1"/>
    <col min="13532" max="13545" width="3.7109375" customWidth="1"/>
    <col min="13546" max="13571" width="4.7109375" customWidth="1"/>
    <col min="13572" max="13631" width="2.7109375" customWidth="1"/>
    <col min="13776" max="13780" width="2.7109375" customWidth="1"/>
    <col min="13781" max="13782" width="3.7109375" customWidth="1"/>
    <col min="13783" max="13783" width="32" customWidth="1"/>
    <col min="13784" max="13786" width="14.5703125" customWidth="1"/>
    <col min="13787" max="13787" width="8.7109375" customWidth="1"/>
    <col min="13788" max="13801" width="3.7109375" customWidth="1"/>
    <col min="13802" max="13827" width="4.7109375" customWidth="1"/>
    <col min="13828" max="13887" width="2.7109375" customWidth="1"/>
    <col min="14032" max="14036" width="2.7109375" customWidth="1"/>
    <col min="14037" max="14038" width="3.7109375" customWidth="1"/>
    <col min="14039" max="14039" width="32" customWidth="1"/>
    <col min="14040" max="14042" width="14.5703125" customWidth="1"/>
    <col min="14043" max="14043" width="8.7109375" customWidth="1"/>
    <col min="14044" max="14057" width="3.7109375" customWidth="1"/>
    <col min="14058" max="14083" width="4.7109375" customWidth="1"/>
    <col min="14084" max="14143" width="2.7109375" customWidth="1"/>
    <col min="14288" max="14292" width="2.7109375" customWidth="1"/>
    <col min="14293" max="14294" width="3.7109375" customWidth="1"/>
    <col min="14295" max="14295" width="32" customWidth="1"/>
    <col min="14296" max="14298" width="14.5703125" customWidth="1"/>
    <col min="14299" max="14299" width="8.7109375" customWidth="1"/>
    <col min="14300" max="14313" width="3.7109375" customWidth="1"/>
    <col min="14314" max="14339" width="4.7109375" customWidth="1"/>
    <col min="14340" max="14399" width="2.7109375" customWidth="1"/>
    <col min="14544" max="14548" width="2.7109375" customWidth="1"/>
    <col min="14549" max="14550" width="3.7109375" customWidth="1"/>
    <col min="14551" max="14551" width="32" customWidth="1"/>
    <col min="14552" max="14554" width="14.5703125" customWidth="1"/>
    <col min="14555" max="14555" width="8.7109375" customWidth="1"/>
    <col min="14556" max="14569" width="3.7109375" customWidth="1"/>
    <col min="14570" max="14595" width="4.7109375" customWidth="1"/>
    <col min="14596" max="14655" width="2.7109375" customWidth="1"/>
    <col min="14800" max="14804" width="2.7109375" customWidth="1"/>
    <col min="14805" max="14806" width="3.7109375" customWidth="1"/>
    <col min="14807" max="14807" width="32" customWidth="1"/>
    <col min="14808" max="14810" width="14.5703125" customWidth="1"/>
    <col min="14811" max="14811" width="8.7109375" customWidth="1"/>
    <col min="14812" max="14825" width="3.7109375" customWidth="1"/>
    <col min="14826" max="14851" width="4.7109375" customWidth="1"/>
    <col min="14852" max="14911" width="2.7109375" customWidth="1"/>
    <col min="15056" max="15060" width="2.7109375" customWidth="1"/>
    <col min="15061" max="15062" width="3.7109375" customWidth="1"/>
    <col min="15063" max="15063" width="32" customWidth="1"/>
    <col min="15064" max="15066" width="14.5703125" customWidth="1"/>
    <col min="15067" max="15067" width="8.7109375" customWidth="1"/>
    <col min="15068" max="15081" width="3.7109375" customWidth="1"/>
    <col min="15082" max="15107" width="4.7109375" customWidth="1"/>
    <col min="15108" max="15167" width="2.7109375" customWidth="1"/>
    <col min="15312" max="15316" width="2.7109375" customWidth="1"/>
    <col min="15317" max="15318" width="3.7109375" customWidth="1"/>
    <col min="15319" max="15319" width="32" customWidth="1"/>
    <col min="15320" max="15322" width="14.5703125" customWidth="1"/>
    <col min="15323" max="15323" width="8.7109375" customWidth="1"/>
    <col min="15324" max="15337" width="3.7109375" customWidth="1"/>
    <col min="15338" max="15363" width="4.7109375" customWidth="1"/>
    <col min="15364" max="15423" width="2.7109375" customWidth="1"/>
    <col min="15568" max="15572" width="2.7109375" customWidth="1"/>
    <col min="15573" max="15574" width="3.7109375" customWidth="1"/>
    <col min="15575" max="15575" width="32" customWidth="1"/>
    <col min="15576" max="15578" width="14.5703125" customWidth="1"/>
    <col min="15579" max="15579" width="8.7109375" customWidth="1"/>
    <col min="15580" max="15593" width="3.7109375" customWidth="1"/>
    <col min="15594" max="15619" width="4.7109375" customWidth="1"/>
    <col min="15620" max="15679" width="2.7109375" customWidth="1"/>
    <col min="15824" max="15828" width="2.7109375" customWidth="1"/>
    <col min="15829" max="15830" width="3.7109375" customWidth="1"/>
    <col min="15831" max="15831" width="32" customWidth="1"/>
    <col min="15832" max="15834" width="14.5703125" customWidth="1"/>
    <col min="15835" max="15835" width="8.7109375" customWidth="1"/>
    <col min="15836" max="15849" width="3.7109375" customWidth="1"/>
    <col min="15850" max="15875" width="4.7109375" customWidth="1"/>
    <col min="15876" max="15935" width="2.7109375" customWidth="1"/>
    <col min="16080" max="16084" width="2.7109375" customWidth="1"/>
    <col min="16085" max="16086" width="3.7109375" customWidth="1"/>
    <col min="16087" max="16087" width="32" customWidth="1"/>
    <col min="16088" max="16090" width="14.5703125" customWidth="1"/>
    <col min="16091" max="16091" width="8.7109375" customWidth="1"/>
    <col min="16092" max="16105" width="3.7109375" customWidth="1"/>
    <col min="16106" max="16131" width="4.7109375" customWidth="1"/>
    <col min="16132" max="16191" width="2.7109375" customWidth="1"/>
  </cols>
  <sheetData>
    <row r="3" spans="2:10" ht="30" customHeight="1">
      <c r="C3" s="41" t="s">
        <v>0</v>
      </c>
      <c r="D3" s="41"/>
      <c r="E3" s="41"/>
      <c r="F3" s="41"/>
      <c r="G3" s="41"/>
      <c r="H3" s="41"/>
      <c r="I3" s="41"/>
    </row>
    <row r="4" spans="2:10" ht="30" customHeight="1">
      <c r="C4" s="41"/>
      <c r="D4" s="41"/>
      <c r="E4" s="41"/>
      <c r="F4" s="41"/>
      <c r="G4" s="41"/>
      <c r="H4" s="41"/>
      <c r="I4" s="41"/>
    </row>
    <row r="5" spans="2:10" ht="30" customHeight="1">
      <c r="C5" s="9"/>
      <c r="D5" s="10" t="s">
        <v>1</v>
      </c>
      <c r="E5" s="42" t="s">
        <v>2</v>
      </c>
      <c r="F5" s="42"/>
      <c r="G5" s="42"/>
      <c r="H5" s="42"/>
      <c r="I5" s="42"/>
    </row>
    <row r="6" spans="2:10" ht="55.5" customHeight="1">
      <c r="F6" s="40" t="s">
        <v>3</v>
      </c>
      <c r="G6" s="40"/>
      <c r="H6" s="40"/>
      <c r="I6" s="40"/>
    </row>
    <row r="7" spans="2:10" ht="45" customHeight="1">
      <c r="B7" s="45" t="s">
        <v>4</v>
      </c>
      <c r="C7" s="47" t="s">
        <v>5</v>
      </c>
      <c r="D7" s="48"/>
      <c r="E7" s="51" t="s">
        <v>6</v>
      </c>
      <c r="F7" s="36" t="s">
        <v>7</v>
      </c>
      <c r="G7" s="8">
        <v>100</v>
      </c>
      <c r="H7" s="38" t="s">
        <v>8</v>
      </c>
      <c r="I7" s="36" t="s">
        <v>9</v>
      </c>
      <c r="J7" s="36" t="s">
        <v>10</v>
      </c>
    </row>
    <row r="8" spans="2:10" ht="60" customHeight="1">
      <c r="B8" s="46"/>
      <c r="C8" s="49"/>
      <c r="D8" s="50"/>
      <c r="E8" s="52"/>
      <c r="F8" s="37"/>
      <c r="G8" s="8">
        <v>0</v>
      </c>
      <c r="H8" s="39"/>
      <c r="I8" s="37"/>
      <c r="J8" s="37"/>
    </row>
    <row r="9" spans="2:10" ht="32.25">
      <c r="B9" s="6">
        <v>1</v>
      </c>
      <c r="C9" s="43" t="s">
        <v>11</v>
      </c>
      <c r="D9" s="44"/>
      <c r="E9" s="5" t="s">
        <v>12</v>
      </c>
      <c r="F9" s="7" t="s">
        <v>13</v>
      </c>
      <c r="G9" s="7" t="s">
        <v>13</v>
      </c>
      <c r="H9" s="7" t="s">
        <v>13</v>
      </c>
      <c r="I9" s="7" t="s">
        <v>13</v>
      </c>
      <c r="J9" s="7" t="s">
        <v>13</v>
      </c>
    </row>
    <row r="10" spans="2:10" ht="32.25">
      <c r="B10" s="6">
        <v>2</v>
      </c>
      <c r="C10" s="43" t="s">
        <v>14</v>
      </c>
      <c r="D10" s="44"/>
      <c r="E10" s="5" t="s">
        <v>12</v>
      </c>
      <c r="F10" s="3" t="s">
        <v>15</v>
      </c>
      <c r="H10" s="3" t="s">
        <v>16</v>
      </c>
      <c r="I10" s="3" t="s">
        <v>17</v>
      </c>
      <c r="J10" s="3" t="s">
        <v>18</v>
      </c>
    </row>
    <row r="11" spans="2:10" ht="48.75">
      <c r="B11" s="6">
        <v>3</v>
      </c>
      <c r="C11" s="43" t="s">
        <v>19</v>
      </c>
      <c r="D11" s="44"/>
      <c r="E11" s="5" t="s">
        <v>12</v>
      </c>
      <c r="F11" s="3" t="s">
        <v>20</v>
      </c>
      <c r="G11" s="3" t="s">
        <v>20</v>
      </c>
      <c r="H11" s="3" t="s">
        <v>20</v>
      </c>
      <c r="I11" s="3" t="s">
        <v>20</v>
      </c>
      <c r="J11" s="3" t="s">
        <v>20</v>
      </c>
    </row>
    <row r="12" spans="2:10" ht="32.25">
      <c r="B12" s="6">
        <v>4</v>
      </c>
      <c r="C12" s="43" t="s">
        <v>21</v>
      </c>
      <c r="D12" s="44"/>
      <c r="E12" s="5" t="s">
        <v>12</v>
      </c>
      <c r="F12" s="2" t="s">
        <v>22</v>
      </c>
      <c r="G12" s="2" t="s">
        <v>22</v>
      </c>
      <c r="H12" s="2" t="s">
        <v>22</v>
      </c>
      <c r="I12" s="2" t="s">
        <v>22</v>
      </c>
      <c r="J12" s="2" t="s">
        <v>22</v>
      </c>
    </row>
    <row r="13" spans="2:10" ht="64.5">
      <c r="B13" s="6">
        <v>5</v>
      </c>
      <c r="C13" s="43" t="s">
        <v>23</v>
      </c>
      <c r="D13" s="44"/>
      <c r="E13" s="5" t="s">
        <v>12</v>
      </c>
      <c r="F13" s="2" t="s">
        <v>24</v>
      </c>
      <c r="G13" s="2" t="s">
        <v>24</v>
      </c>
      <c r="H13" s="2" t="s">
        <v>24</v>
      </c>
      <c r="I13" s="2" t="s">
        <v>24</v>
      </c>
      <c r="J13" s="2" t="s">
        <v>24</v>
      </c>
    </row>
    <row r="14" spans="2:10" ht="48.75">
      <c r="B14" s="6">
        <v>6</v>
      </c>
      <c r="C14" s="43" t="s">
        <v>25</v>
      </c>
      <c r="D14" s="44"/>
      <c r="E14" s="5" t="s">
        <v>12</v>
      </c>
      <c r="F14" s="2" t="s">
        <v>26</v>
      </c>
      <c r="G14" s="2" t="s">
        <v>26</v>
      </c>
      <c r="H14" s="2" t="s">
        <v>26</v>
      </c>
      <c r="I14" s="2" t="s">
        <v>26</v>
      </c>
      <c r="J14" s="2" t="s">
        <v>26</v>
      </c>
    </row>
    <row r="15" spans="2:10" ht="96.75">
      <c r="B15" s="6">
        <v>7</v>
      </c>
      <c r="C15" s="43" t="s">
        <v>27</v>
      </c>
      <c r="D15" s="44"/>
      <c r="E15" s="5" t="s">
        <v>12</v>
      </c>
      <c r="F15" s="2" t="s">
        <v>28</v>
      </c>
      <c r="G15" s="2" t="s">
        <v>29</v>
      </c>
      <c r="H15" s="2" t="s">
        <v>28</v>
      </c>
      <c r="I15" s="2" t="s">
        <v>28</v>
      </c>
      <c r="J15" s="2" t="s">
        <v>28</v>
      </c>
    </row>
    <row r="16" spans="2:10" ht="113.25">
      <c r="B16" s="6">
        <v>8</v>
      </c>
      <c r="C16" s="43" t="s">
        <v>30</v>
      </c>
      <c r="D16" s="44"/>
      <c r="E16" s="5" t="s">
        <v>12</v>
      </c>
      <c r="F16" s="2" t="s">
        <v>31</v>
      </c>
      <c r="G16" s="2" t="s">
        <v>31</v>
      </c>
      <c r="H16" s="2" t="s">
        <v>31</v>
      </c>
      <c r="I16" s="2" t="s">
        <v>31</v>
      </c>
      <c r="J16" s="2" t="s">
        <v>31</v>
      </c>
    </row>
    <row r="17" spans="2:10" ht="96.75">
      <c r="B17" s="6">
        <v>9</v>
      </c>
      <c r="C17" s="43" t="s">
        <v>32</v>
      </c>
      <c r="D17" s="44"/>
      <c r="E17" s="5" t="s">
        <v>12</v>
      </c>
      <c r="F17" s="4" t="s">
        <v>33</v>
      </c>
      <c r="G17" s="4" t="s">
        <v>33</v>
      </c>
      <c r="H17" s="4" t="s">
        <v>33</v>
      </c>
      <c r="I17" s="4" t="s">
        <v>33</v>
      </c>
      <c r="J17" s="4" t="s">
        <v>34</v>
      </c>
    </row>
    <row r="18" spans="2:10" ht="64.5">
      <c r="B18" s="6">
        <v>10</v>
      </c>
      <c r="C18" s="43" t="s">
        <v>35</v>
      </c>
      <c r="D18" s="44"/>
      <c r="E18" s="5" t="s">
        <v>12</v>
      </c>
      <c r="F18" s="2" t="s">
        <v>36</v>
      </c>
      <c r="G18" s="2" t="s">
        <v>36</v>
      </c>
      <c r="H18" s="2" t="s">
        <v>36</v>
      </c>
      <c r="I18" s="2" t="s">
        <v>36</v>
      </c>
      <c r="J18" s="2" t="s">
        <v>36</v>
      </c>
    </row>
    <row r="19" spans="2:10" ht="129">
      <c r="B19" s="6">
        <v>11</v>
      </c>
      <c r="C19" s="43" t="s">
        <v>37</v>
      </c>
      <c r="D19" s="44"/>
      <c r="E19" s="5" t="s">
        <v>12</v>
      </c>
      <c r="F19" s="2" t="s">
        <v>38</v>
      </c>
      <c r="G19" s="2" t="s">
        <v>38</v>
      </c>
      <c r="H19" s="2" t="s">
        <v>38</v>
      </c>
      <c r="I19" s="2" t="s">
        <v>38</v>
      </c>
      <c r="J19" s="2" t="s">
        <v>38</v>
      </c>
    </row>
  </sheetData>
  <mergeCells count="21">
    <mergeCell ref="J7:J8"/>
    <mergeCell ref="C15:D15"/>
    <mergeCell ref="C16:D16"/>
    <mergeCell ref="C17:D17"/>
    <mergeCell ref="C18:D18"/>
    <mergeCell ref="C19:D19"/>
    <mergeCell ref="C14:D14"/>
    <mergeCell ref="B7:B8"/>
    <mergeCell ref="C7:D8"/>
    <mergeCell ref="E7:E8"/>
    <mergeCell ref="C9:D9"/>
    <mergeCell ref="C10:D10"/>
    <mergeCell ref="C11:D11"/>
    <mergeCell ref="C12:D12"/>
    <mergeCell ref="C13:D13"/>
    <mergeCell ref="F7:F8"/>
    <mergeCell ref="H7:H8"/>
    <mergeCell ref="F6:I6"/>
    <mergeCell ref="C3:I4"/>
    <mergeCell ref="E5:I5"/>
    <mergeCell ref="I7:I8"/>
  </mergeCells>
  <printOptions horizontalCentered="1" verticalCentered="1"/>
  <pageMargins left="0.47" right="0.70866141732283472" top="0.74803149606299213" bottom="0.74803149606299213" header="0.31496062992125984" footer="0.31496062992125984"/>
  <pageSetup paperSize="9" scale="56" fitToWidth="2" fitToHeight="2" orientation="landscape" r:id="rId1"/>
  <headerFooter>
    <oddFooter>&amp;LElaborado por:
Ing Jenny A Ruiz R, Mónica  Gómez
Docentes TC del Departamento de Ciencias de la  Computación
IREB PROYECTO DE CHECK LIST  (CASO DE ESTUDIO ACADÉMICO)&amp;C&amp;P de &amp;N&amp;R&amp;D</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43"/>
  <sheetViews>
    <sheetView topLeftCell="B4" workbookViewId="0">
      <selection activeCell="B10" sqref="B10"/>
    </sheetView>
  </sheetViews>
  <sheetFormatPr defaultColWidth="11.42578125" defaultRowHeight="14.45"/>
  <cols>
    <col min="2" max="2" width="36" bestFit="1" customWidth="1"/>
    <col min="3" max="3" width="16.28515625" customWidth="1"/>
  </cols>
  <sheetData>
    <row r="1" spans="1:4" s="19" customFormat="1" ht="38.25" customHeight="1">
      <c r="B1" s="20" t="s">
        <v>39</v>
      </c>
      <c r="C1" s="55" t="s">
        <v>40</v>
      </c>
      <c r="D1" s="55"/>
    </row>
    <row r="2" spans="1:4" ht="18.75">
      <c r="B2" s="21" t="s">
        <v>41</v>
      </c>
      <c r="C2" s="56">
        <v>45776</v>
      </c>
      <c r="D2" s="56"/>
    </row>
    <row r="3" spans="1:4" ht="18.75">
      <c r="B3" s="21" t="s">
        <v>42</v>
      </c>
      <c r="C3" s="57" t="s">
        <v>43</v>
      </c>
      <c r="D3" s="57"/>
    </row>
    <row r="4" spans="1:4" ht="44.25" customHeight="1">
      <c r="B4" s="21" t="s">
        <v>44</v>
      </c>
      <c r="C4" s="57" t="s">
        <v>45</v>
      </c>
      <c r="D4" s="57"/>
    </row>
    <row r="6" spans="1:4" ht="23.45">
      <c r="A6" s="54" t="s">
        <v>46</v>
      </c>
      <c r="B6" s="54"/>
      <c r="C6" s="54"/>
      <c r="D6" s="54"/>
    </row>
    <row r="7" spans="1:4" ht="15" customHeight="1">
      <c r="A7" s="26" t="s">
        <v>47</v>
      </c>
      <c r="B7" s="27" t="s">
        <v>48</v>
      </c>
      <c r="C7" s="27" t="s">
        <v>49</v>
      </c>
      <c r="D7" s="28" t="s">
        <v>50</v>
      </c>
    </row>
    <row r="8" spans="1:4" ht="28.9">
      <c r="A8" s="13">
        <v>1</v>
      </c>
      <c r="B8" s="12" t="s">
        <v>51</v>
      </c>
      <c r="C8" s="11" t="s">
        <v>52</v>
      </c>
      <c r="D8" s="23"/>
    </row>
    <row r="9" spans="1:4" ht="28.9">
      <c r="A9" s="13">
        <v>2</v>
      </c>
      <c r="B9" s="12" t="s">
        <v>53</v>
      </c>
      <c r="C9" s="11" t="s">
        <v>52</v>
      </c>
      <c r="D9" s="23"/>
    </row>
    <row r="10" spans="1:4" ht="72">
      <c r="A10" s="13">
        <v>3</v>
      </c>
      <c r="B10" s="12" t="s">
        <v>54</v>
      </c>
      <c r="C10" s="11"/>
      <c r="D10" s="23" t="s">
        <v>52</v>
      </c>
    </row>
    <row r="11" spans="1:4" ht="28.9">
      <c r="A11" s="13">
        <v>4</v>
      </c>
      <c r="B11" s="12" t="s">
        <v>55</v>
      </c>
      <c r="C11" s="11" t="s">
        <v>52</v>
      </c>
      <c r="D11" s="23"/>
    </row>
    <row r="12" spans="1:4" ht="28.9">
      <c r="A12" s="13">
        <v>5</v>
      </c>
      <c r="B12" s="12" t="s">
        <v>56</v>
      </c>
      <c r="C12" s="11"/>
      <c r="D12" s="23" t="s">
        <v>52</v>
      </c>
    </row>
    <row r="13" spans="1:4" ht="28.9">
      <c r="A13" s="13">
        <v>6</v>
      </c>
      <c r="B13" s="12" t="s">
        <v>57</v>
      </c>
      <c r="C13" s="11" t="s">
        <v>52</v>
      </c>
      <c r="D13" s="23"/>
    </row>
    <row r="14" spans="1:4" ht="28.9">
      <c r="A14" s="13">
        <v>7</v>
      </c>
      <c r="B14" s="12" t="s">
        <v>58</v>
      </c>
      <c r="C14" s="11"/>
      <c r="D14" s="23" t="s">
        <v>52</v>
      </c>
    </row>
    <row r="15" spans="1:4" ht="43.15">
      <c r="A15" s="13">
        <v>8</v>
      </c>
      <c r="B15" s="12" t="s">
        <v>59</v>
      </c>
      <c r="C15" s="11" t="s">
        <v>52</v>
      </c>
      <c r="D15" s="23"/>
    </row>
    <row r="16" spans="1:4" ht="72">
      <c r="A16" s="17">
        <v>9</v>
      </c>
      <c r="B16" s="18" t="s">
        <v>60</v>
      </c>
      <c r="C16" s="24" t="s">
        <v>52</v>
      </c>
      <c r="D16" s="25"/>
    </row>
    <row r="17" spans="1:4" ht="18">
      <c r="A17" s="53" t="s">
        <v>61</v>
      </c>
      <c r="B17" s="53"/>
      <c r="C17">
        <f>COUNTA(Tabla3[SI])</f>
        <v>6</v>
      </c>
      <c r="D17">
        <f>COUNTA(Tabla3[[NO ]])</f>
        <v>3</v>
      </c>
    </row>
    <row r="18" spans="1:4" ht="18">
      <c r="A18" s="53" t="s">
        <v>62</v>
      </c>
      <c r="B18" s="53"/>
      <c r="C18" s="29">
        <f>C17/9</f>
        <v>0.66666666666666663</v>
      </c>
      <c r="D18" s="29">
        <f>D17/9</f>
        <v>0.33333333333333331</v>
      </c>
    </row>
    <row r="19" spans="1:4" ht="18">
      <c r="A19" s="30"/>
      <c r="B19" s="30"/>
      <c r="C19" s="29"/>
    </row>
    <row r="20" spans="1:4" ht="23.45">
      <c r="A20" s="59" t="s">
        <v>63</v>
      </c>
      <c r="B20" s="59"/>
      <c r="C20" s="59"/>
      <c r="D20" s="59"/>
    </row>
    <row r="21" spans="1:4" ht="21">
      <c r="A21" s="14" t="s">
        <v>47</v>
      </c>
      <c r="B21" s="22" t="s">
        <v>48</v>
      </c>
      <c r="C21" s="15" t="s">
        <v>49</v>
      </c>
      <c r="D21" s="16" t="s">
        <v>50</v>
      </c>
    </row>
    <row r="22" spans="1:4" ht="28.9">
      <c r="A22" s="13">
        <v>1</v>
      </c>
      <c r="B22" s="12" t="s">
        <v>64</v>
      </c>
      <c r="C22" s="11" t="s">
        <v>65</v>
      </c>
      <c r="D22" s="23"/>
    </row>
    <row r="23" spans="1:4" ht="28.9">
      <c r="A23" s="13">
        <v>2</v>
      </c>
      <c r="B23" s="12" t="s">
        <v>66</v>
      </c>
      <c r="C23" s="11"/>
      <c r="D23" s="23" t="s">
        <v>65</v>
      </c>
    </row>
    <row r="24" spans="1:4" ht="28.9">
      <c r="A24" s="13">
        <v>3</v>
      </c>
      <c r="B24" s="12" t="s">
        <v>67</v>
      </c>
      <c r="C24" s="11" t="s">
        <v>52</v>
      </c>
      <c r="D24" s="23"/>
    </row>
    <row r="25" spans="1:4" ht="43.15">
      <c r="A25" s="13">
        <v>4</v>
      </c>
      <c r="B25" s="12" t="s">
        <v>68</v>
      </c>
      <c r="C25" s="11" t="s">
        <v>52</v>
      </c>
      <c r="D25" s="23"/>
    </row>
    <row r="26" spans="1:4" ht="28.9">
      <c r="A26" s="17">
        <v>5</v>
      </c>
      <c r="B26" s="18" t="s">
        <v>69</v>
      </c>
      <c r="C26" s="24"/>
      <c r="D26" s="25" t="s">
        <v>65</v>
      </c>
    </row>
    <row r="27" spans="1:4" ht="18">
      <c r="A27" s="53" t="s">
        <v>61</v>
      </c>
      <c r="B27" s="53"/>
      <c r="C27">
        <f>COUNTA(Tabla4[SI])</f>
        <v>3</v>
      </c>
      <c r="D27">
        <f>COUNTA(Tabla4[[NO ]])</f>
        <v>2</v>
      </c>
    </row>
    <row r="28" spans="1:4" ht="18">
      <c r="A28" s="53" t="s">
        <v>62</v>
      </c>
      <c r="B28" s="53"/>
      <c r="C28" s="29">
        <f>C27/5</f>
        <v>0.6</v>
      </c>
      <c r="D28" s="29">
        <f>D27/5</f>
        <v>0.4</v>
      </c>
    </row>
    <row r="29" spans="1:4" ht="18">
      <c r="A29" s="30"/>
      <c r="B29" s="30"/>
      <c r="C29" s="29"/>
    </row>
    <row r="30" spans="1:4" ht="23.45">
      <c r="A30" s="54" t="s">
        <v>70</v>
      </c>
      <c r="B30" s="54"/>
      <c r="C30" s="54"/>
      <c r="D30" s="54"/>
    </row>
    <row r="31" spans="1:4" ht="21">
      <c r="A31" s="14" t="s">
        <v>47</v>
      </c>
      <c r="B31" s="22" t="s">
        <v>48</v>
      </c>
      <c r="C31" s="15" t="s">
        <v>49</v>
      </c>
      <c r="D31" s="16" t="s">
        <v>50</v>
      </c>
    </row>
    <row r="32" spans="1:4" ht="43.15">
      <c r="A32" s="13">
        <v>1</v>
      </c>
      <c r="B32" s="12" t="s">
        <v>71</v>
      </c>
      <c r="C32" s="11" t="s">
        <v>52</v>
      </c>
      <c r="D32" s="23"/>
    </row>
    <row r="33" spans="1:4" ht="45.75">
      <c r="A33" s="13">
        <v>2</v>
      </c>
      <c r="B33" s="12" t="s">
        <v>72</v>
      </c>
      <c r="C33" s="11" t="s">
        <v>52</v>
      </c>
      <c r="D33" s="23"/>
    </row>
    <row r="34" spans="1:4" ht="43.15">
      <c r="A34" s="17">
        <v>3</v>
      </c>
      <c r="B34" s="18" t="s">
        <v>73</v>
      </c>
      <c r="C34" s="24" t="s">
        <v>52</v>
      </c>
      <c r="D34" s="25"/>
    </row>
    <row r="35" spans="1:4" ht="18">
      <c r="A35" s="53" t="s">
        <v>61</v>
      </c>
      <c r="B35" s="53"/>
      <c r="C35">
        <f>COUNTA(Tabla5[SI])</f>
        <v>3</v>
      </c>
      <c r="D35">
        <f>COUNTA(Tabla5[[NO ]])</f>
        <v>0</v>
      </c>
    </row>
    <row r="36" spans="1:4" ht="18">
      <c r="A36" s="53" t="s">
        <v>62</v>
      </c>
      <c r="B36" s="53"/>
      <c r="C36" s="29">
        <f>C35/3</f>
        <v>1</v>
      </c>
      <c r="D36" s="29">
        <f>D35/3</f>
        <v>0</v>
      </c>
    </row>
    <row r="40" spans="1:4" ht="18">
      <c r="A40" s="58" t="s">
        <v>74</v>
      </c>
      <c r="B40" s="58"/>
      <c r="C40" s="58"/>
    </row>
    <row r="41" spans="1:4" ht="30" customHeight="1">
      <c r="B41" s="19" t="s">
        <v>75</v>
      </c>
      <c r="C41" s="31">
        <v>0.67</v>
      </c>
    </row>
    <row r="42" spans="1:4" ht="30" customHeight="1">
      <c r="B42" s="19" t="s">
        <v>63</v>
      </c>
      <c r="C42" s="31">
        <v>0.6</v>
      </c>
    </row>
    <row r="43" spans="1:4" ht="30" customHeight="1">
      <c r="B43" s="19" t="s">
        <v>70</v>
      </c>
      <c r="C43" s="32">
        <v>1</v>
      </c>
    </row>
  </sheetData>
  <dataConsolidate/>
  <mergeCells count="14">
    <mergeCell ref="A40:C40"/>
    <mergeCell ref="A28:B28"/>
    <mergeCell ref="A36:B36"/>
    <mergeCell ref="A35:B35"/>
    <mergeCell ref="A18:B18"/>
    <mergeCell ref="A20:D20"/>
    <mergeCell ref="A30:D30"/>
    <mergeCell ref="A17:B17"/>
    <mergeCell ref="A27:B27"/>
    <mergeCell ref="A6:D6"/>
    <mergeCell ref="C1:D1"/>
    <mergeCell ref="C2:D2"/>
    <mergeCell ref="C3:D3"/>
    <mergeCell ref="C4:D4"/>
  </mergeCells>
  <conditionalFormatting sqref="A32:D34">
    <cfRule type="containsText" dxfId="135" priority="8" operator="containsText" text="X">
      <formula>NOT(ISERROR(SEARCH("X",A32)))</formula>
    </cfRule>
  </conditionalFormatting>
  <conditionalFormatting sqref="C8:D16">
    <cfRule type="containsText" dxfId="134" priority="1" operator="containsText" text="X">
      <formula>NOT(ISERROR(SEARCH("X",C8)))</formula>
    </cfRule>
    <cfRule type="containsText" dxfId="133" priority="5" operator="containsText" text="X">
      <formula>NOT(ISERROR(SEARCH("X",C8)))</formula>
    </cfRule>
    <cfRule type="containsText" dxfId="132" priority="6" operator="containsText" text="X">
      <formula>NOT(ISERROR(SEARCH("X",C8)))</formula>
    </cfRule>
    <cfRule type="containsText" dxfId="131" priority="7" operator="containsText" text="X">
      <formula>NOT(ISERROR(SEARCH("X",C8)))</formula>
    </cfRule>
  </conditionalFormatting>
  <conditionalFormatting sqref="C22:D26">
    <cfRule type="containsText" dxfId="130" priority="2" operator="containsText" text="X">
      <formula>NOT(ISERROR(SEARCH("X",C22)))</formula>
    </cfRule>
    <cfRule type="containsText" dxfId="129" priority="4" operator="containsText" text="X">
      <formula>NOT(ISERROR(SEARCH("X",C22)))</formula>
    </cfRule>
  </conditionalFormatting>
  <conditionalFormatting sqref="C32:D34">
    <cfRule type="containsText" dxfId="128" priority="3" operator="containsText" text="X">
      <formula>NOT(ISERROR(SEARCH("X",C32)))</formula>
    </cfRule>
  </conditionalFormatting>
  <pageMargins left="0.7" right="0.7" top="0.75" bottom="0.75" header="0.3" footer="0.3"/>
  <pageSetup paperSize="9" orientation="portrait" r:id="rId1"/>
  <drawing r:id="rId2"/>
  <legacyDrawing r:id="rId3"/>
  <tableParts count="3">
    <tablePart r:id="rId4"/>
    <tablePart r:id="rId5"/>
    <tablePart r:id="rId6"/>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D06D2-6CD6-4F55-A4D1-46CB1CB19B54}">
  <dimension ref="A1:D43"/>
  <sheetViews>
    <sheetView workbookViewId="0"/>
  </sheetViews>
  <sheetFormatPr defaultColWidth="11.42578125" defaultRowHeight="15"/>
  <cols>
    <col min="2" max="2" width="36" bestFit="1" customWidth="1"/>
    <col min="3" max="3" width="16.28515625" customWidth="1"/>
  </cols>
  <sheetData>
    <row r="1" spans="1:4" s="19" customFormat="1" ht="38.25" customHeight="1">
      <c r="B1" s="20" t="s">
        <v>39</v>
      </c>
      <c r="C1" s="55" t="s">
        <v>40</v>
      </c>
      <c r="D1" s="55"/>
    </row>
    <row r="2" spans="1:4" ht="18.75">
      <c r="B2" s="21" t="s">
        <v>41</v>
      </c>
      <c r="C2" s="56">
        <v>45776</v>
      </c>
      <c r="D2" s="56"/>
    </row>
    <row r="3" spans="1:4" ht="18.75">
      <c r="B3" s="21" t="s">
        <v>42</v>
      </c>
      <c r="C3" s="57" t="s">
        <v>43</v>
      </c>
      <c r="D3" s="57"/>
    </row>
    <row r="4" spans="1:4" ht="18.75">
      <c r="B4" s="21" t="s">
        <v>44</v>
      </c>
      <c r="C4" s="57" t="s">
        <v>8</v>
      </c>
      <c r="D4" s="57"/>
    </row>
    <row r="6" spans="1:4" ht="23.25">
      <c r="A6" s="54" t="s">
        <v>46</v>
      </c>
      <c r="B6" s="54"/>
      <c r="C6" s="54"/>
      <c r="D6" s="54"/>
    </row>
    <row r="7" spans="1:4" ht="15" customHeight="1">
      <c r="A7" s="26" t="s">
        <v>47</v>
      </c>
      <c r="B7" s="27" t="s">
        <v>48</v>
      </c>
      <c r="C7" s="27" t="s">
        <v>49</v>
      </c>
      <c r="D7" s="28" t="s">
        <v>50</v>
      </c>
    </row>
    <row r="8" spans="1:4" ht="30.75">
      <c r="A8" s="13">
        <v>1</v>
      </c>
      <c r="B8" s="12" t="s">
        <v>51</v>
      </c>
      <c r="C8" s="11" t="s">
        <v>52</v>
      </c>
      <c r="D8" s="23"/>
    </row>
    <row r="9" spans="1:4" ht="30.75">
      <c r="A9" s="13">
        <v>2</v>
      </c>
      <c r="B9" s="12" t="s">
        <v>53</v>
      </c>
      <c r="C9" s="11" t="s">
        <v>52</v>
      </c>
      <c r="D9" s="23"/>
    </row>
    <row r="10" spans="1:4" ht="60.75">
      <c r="A10" s="13">
        <v>3</v>
      </c>
      <c r="B10" s="12" t="s">
        <v>54</v>
      </c>
      <c r="C10" s="11"/>
      <c r="D10" s="23" t="s">
        <v>52</v>
      </c>
    </row>
    <row r="11" spans="1:4" ht="30.75">
      <c r="A11" s="13">
        <v>4</v>
      </c>
      <c r="B11" s="12" t="s">
        <v>55</v>
      </c>
      <c r="C11" s="11" t="s">
        <v>52</v>
      </c>
      <c r="D11" s="23"/>
    </row>
    <row r="12" spans="1:4" ht="30.75">
      <c r="A12" s="13">
        <v>5</v>
      </c>
      <c r="B12" s="12" t="s">
        <v>56</v>
      </c>
      <c r="C12" s="11"/>
      <c r="D12" s="23" t="s">
        <v>52</v>
      </c>
    </row>
    <row r="13" spans="1:4" ht="30.75">
      <c r="A13" s="13">
        <v>6</v>
      </c>
      <c r="B13" s="12" t="s">
        <v>57</v>
      </c>
      <c r="C13" s="11" t="s">
        <v>52</v>
      </c>
      <c r="D13" s="23"/>
    </row>
    <row r="14" spans="1:4" ht="30.75">
      <c r="A14" s="13">
        <v>7</v>
      </c>
      <c r="B14" s="12" t="s">
        <v>58</v>
      </c>
      <c r="C14" s="11"/>
      <c r="D14" s="23" t="s">
        <v>52</v>
      </c>
    </row>
    <row r="15" spans="1:4" ht="45.75">
      <c r="A15" s="13">
        <v>8</v>
      </c>
      <c r="B15" s="12" t="s">
        <v>59</v>
      </c>
      <c r="C15" s="11" t="s">
        <v>52</v>
      </c>
      <c r="D15" s="23"/>
    </row>
    <row r="16" spans="1:4" ht="60.75">
      <c r="A16" s="17">
        <v>9</v>
      </c>
      <c r="B16" s="18" t="s">
        <v>60</v>
      </c>
      <c r="C16" s="24" t="s">
        <v>52</v>
      </c>
      <c r="D16" s="25"/>
    </row>
    <row r="17" spans="1:4" ht="18.75">
      <c r="A17" s="53" t="s">
        <v>61</v>
      </c>
      <c r="B17" s="53"/>
      <c r="C17">
        <f>COUNTA(Tabla32[SI])</f>
        <v>6</v>
      </c>
      <c r="D17">
        <f>COUNTA(Tabla32[[NO ]])</f>
        <v>3</v>
      </c>
    </row>
    <row r="18" spans="1:4" ht="18.75">
      <c r="A18" s="53" t="s">
        <v>62</v>
      </c>
      <c r="B18" s="53"/>
      <c r="C18" s="29">
        <f>C17/9</f>
        <v>0.66666666666666663</v>
      </c>
      <c r="D18" s="29">
        <f>D17/9</f>
        <v>0.33333333333333331</v>
      </c>
    </row>
    <row r="19" spans="1:4" ht="18.75">
      <c r="A19" s="30"/>
      <c r="B19" s="30"/>
      <c r="C19" s="29"/>
    </row>
    <row r="20" spans="1:4" ht="23.25">
      <c r="A20" s="59" t="s">
        <v>63</v>
      </c>
      <c r="B20" s="59"/>
      <c r="C20" s="59"/>
      <c r="D20" s="59"/>
    </row>
    <row r="21" spans="1:4" ht="21">
      <c r="A21" s="14" t="s">
        <v>47</v>
      </c>
      <c r="B21" s="22" t="s">
        <v>48</v>
      </c>
      <c r="C21" s="15" t="s">
        <v>49</v>
      </c>
      <c r="D21" s="16" t="s">
        <v>50</v>
      </c>
    </row>
    <row r="22" spans="1:4" ht="30.75">
      <c r="A22" s="13">
        <v>1</v>
      </c>
      <c r="B22" s="12" t="s">
        <v>64</v>
      </c>
      <c r="C22" s="11" t="s">
        <v>52</v>
      </c>
      <c r="D22" s="23"/>
    </row>
    <row r="23" spans="1:4" ht="30.75">
      <c r="A23" s="13">
        <v>2</v>
      </c>
      <c r="B23" s="12" t="s">
        <v>66</v>
      </c>
      <c r="C23" s="11"/>
      <c r="D23" s="23" t="s">
        <v>65</v>
      </c>
    </row>
    <row r="24" spans="1:4" ht="30.75">
      <c r="A24" s="13">
        <v>3</v>
      </c>
      <c r="B24" s="12" t="s">
        <v>67</v>
      </c>
      <c r="C24" s="11" t="s">
        <v>52</v>
      </c>
      <c r="D24" s="23"/>
    </row>
    <row r="25" spans="1:4" ht="30.75">
      <c r="A25" s="13">
        <v>4</v>
      </c>
      <c r="B25" s="12" t="s">
        <v>68</v>
      </c>
      <c r="C25" s="11" t="s">
        <v>52</v>
      </c>
      <c r="D25" s="23"/>
    </row>
    <row r="26" spans="1:4" ht="30.75">
      <c r="A26" s="17">
        <v>5</v>
      </c>
      <c r="B26" s="18" t="s">
        <v>69</v>
      </c>
      <c r="C26" s="24" t="s">
        <v>52</v>
      </c>
      <c r="D26" s="25"/>
    </row>
    <row r="27" spans="1:4" ht="18.75">
      <c r="A27" s="53" t="s">
        <v>61</v>
      </c>
      <c r="B27" s="53"/>
      <c r="C27">
        <f>COUNTA(Tabla43[SI])</f>
        <v>4</v>
      </c>
      <c r="D27">
        <f>COUNTA(Tabla43[[NO ]])</f>
        <v>1</v>
      </c>
    </row>
    <row r="28" spans="1:4" ht="18.75">
      <c r="A28" s="53" t="s">
        <v>62</v>
      </c>
      <c r="B28" s="53"/>
      <c r="C28" s="29">
        <f>C27/5</f>
        <v>0.8</v>
      </c>
      <c r="D28" s="29">
        <f>D27/5</f>
        <v>0.2</v>
      </c>
    </row>
    <row r="29" spans="1:4" ht="18.75">
      <c r="A29" s="30"/>
      <c r="B29" s="30"/>
      <c r="C29" s="29"/>
    </row>
    <row r="30" spans="1:4" ht="23.25">
      <c r="A30" s="54" t="s">
        <v>70</v>
      </c>
      <c r="B30" s="54"/>
      <c r="C30" s="54"/>
      <c r="D30" s="54"/>
    </row>
    <row r="31" spans="1:4" ht="21">
      <c r="A31" s="14" t="s">
        <v>47</v>
      </c>
      <c r="B31" s="22" t="s">
        <v>48</v>
      </c>
      <c r="C31" s="15" t="s">
        <v>49</v>
      </c>
      <c r="D31" s="16" t="s">
        <v>50</v>
      </c>
    </row>
    <row r="32" spans="1:4" ht="30.75">
      <c r="A32" s="13">
        <v>1</v>
      </c>
      <c r="B32" s="12" t="s">
        <v>71</v>
      </c>
      <c r="C32" s="11" t="s">
        <v>52</v>
      </c>
      <c r="D32" s="23"/>
    </row>
    <row r="33" spans="1:4" ht="45.75">
      <c r="A33" s="13">
        <v>2</v>
      </c>
      <c r="B33" s="12" t="s">
        <v>72</v>
      </c>
      <c r="C33" s="11" t="s">
        <v>52</v>
      </c>
      <c r="D33" s="23"/>
    </row>
    <row r="34" spans="1:4" ht="45.75">
      <c r="A34" s="17">
        <v>3</v>
      </c>
      <c r="B34" s="18" t="s">
        <v>73</v>
      </c>
      <c r="C34" s="24" t="s">
        <v>52</v>
      </c>
      <c r="D34" s="25"/>
    </row>
    <row r="35" spans="1:4" ht="18.75">
      <c r="A35" s="53" t="s">
        <v>61</v>
      </c>
      <c r="B35" s="53"/>
      <c r="C35">
        <f>COUNTA(Tabla57[SI])</f>
        <v>3</v>
      </c>
      <c r="D35">
        <f>COUNTA(Tabla57[[NO ]])</f>
        <v>0</v>
      </c>
    </row>
    <row r="36" spans="1:4" ht="18.75">
      <c r="A36" s="53" t="s">
        <v>62</v>
      </c>
      <c r="B36" s="53"/>
      <c r="C36" s="29">
        <f>C35/3</f>
        <v>1</v>
      </c>
      <c r="D36" s="29">
        <f>D35/3</f>
        <v>0</v>
      </c>
    </row>
    <row r="40" spans="1:4" ht="18.75">
      <c r="A40" s="58" t="s">
        <v>74</v>
      </c>
      <c r="B40" s="58"/>
      <c r="C40" s="58"/>
    </row>
    <row r="41" spans="1:4" ht="30" customHeight="1">
      <c r="B41" s="19" t="s">
        <v>75</v>
      </c>
      <c r="C41" s="31">
        <v>0.67</v>
      </c>
    </row>
    <row r="42" spans="1:4" ht="30" customHeight="1">
      <c r="B42" s="19" t="s">
        <v>63</v>
      </c>
      <c r="C42" s="31">
        <v>0.8</v>
      </c>
    </row>
    <row r="43" spans="1:4" ht="30" customHeight="1">
      <c r="B43" s="19" t="s">
        <v>70</v>
      </c>
      <c r="C43" s="32">
        <v>1</v>
      </c>
    </row>
  </sheetData>
  <mergeCells count="14">
    <mergeCell ref="A36:B36"/>
    <mergeCell ref="A40:C40"/>
    <mergeCell ref="A18:B18"/>
    <mergeCell ref="A20:D20"/>
    <mergeCell ref="A27:B27"/>
    <mergeCell ref="A28:B28"/>
    <mergeCell ref="A30:D30"/>
    <mergeCell ref="A35:B35"/>
    <mergeCell ref="A17:B17"/>
    <mergeCell ref="C1:D1"/>
    <mergeCell ref="C2:D2"/>
    <mergeCell ref="C3:D3"/>
    <mergeCell ref="C4:D4"/>
    <mergeCell ref="A6:D6"/>
  </mergeCells>
  <conditionalFormatting sqref="A32:D34">
    <cfRule type="containsText" dxfId="101" priority="8" operator="containsText" text="X">
      <formula>NOT(ISERROR(SEARCH("X",A32)))</formula>
    </cfRule>
  </conditionalFormatting>
  <conditionalFormatting sqref="C8:D16">
    <cfRule type="containsText" dxfId="100" priority="1" operator="containsText" text="X">
      <formula>NOT(ISERROR(SEARCH("X",C8)))</formula>
    </cfRule>
    <cfRule type="containsText" dxfId="99" priority="5" operator="containsText" text="X">
      <formula>NOT(ISERROR(SEARCH("X",C8)))</formula>
    </cfRule>
    <cfRule type="containsText" dxfId="98" priority="6" operator="containsText" text="X">
      <formula>NOT(ISERROR(SEARCH("X",C8)))</formula>
    </cfRule>
    <cfRule type="containsText" dxfId="97" priority="7" operator="containsText" text="X">
      <formula>NOT(ISERROR(SEARCH("X",C8)))</formula>
    </cfRule>
  </conditionalFormatting>
  <conditionalFormatting sqref="C22:D26">
    <cfRule type="containsText" dxfId="96" priority="2" operator="containsText" text="X">
      <formula>NOT(ISERROR(SEARCH("X",C22)))</formula>
    </cfRule>
    <cfRule type="containsText" dxfId="95" priority="4" operator="containsText" text="X">
      <formula>NOT(ISERROR(SEARCH("X",C22)))</formula>
    </cfRule>
  </conditionalFormatting>
  <conditionalFormatting sqref="C32:D34">
    <cfRule type="containsText" dxfId="94" priority="3" operator="containsText" text="X">
      <formula>NOT(ISERROR(SEARCH("X",C32)))</formula>
    </cfRule>
  </conditionalFormatting>
  <pageMargins left="0.7" right="0.7" top="0.75" bottom="0.75" header="0.3" footer="0.3"/>
  <pageSetup paperSize="9" orientation="portrait"/>
  <drawing r:id="rId1"/>
  <legacyDrawing r:id="rId2"/>
  <tableParts count="3">
    <tablePart r:id="rId3"/>
    <tablePart r:id="rId4"/>
    <tablePart r:id="rId5"/>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AB6D7-F429-4CB0-9870-DB0F352D4A10}">
  <dimension ref="A1:D43"/>
  <sheetViews>
    <sheetView topLeftCell="A33" workbookViewId="0">
      <selection activeCell="J33" sqref="J33"/>
    </sheetView>
  </sheetViews>
  <sheetFormatPr defaultColWidth="11.42578125" defaultRowHeight="15"/>
  <cols>
    <col min="2" max="2" width="36" bestFit="1" customWidth="1"/>
    <col min="3" max="3" width="16.28515625" customWidth="1"/>
  </cols>
  <sheetData>
    <row r="1" spans="1:4" s="19" customFormat="1" ht="38.25" customHeight="1">
      <c r="B1" s="20" t="s">
        <v>39</v>
      </c>
      <c r="C1" s="55" t="s">
        <v>40</v>
      </c>
      <c r="D1" s="55"/>
    </row>
    <row r="2" spans="1:4" ht="18.75">
      <c r="B2" s="21" t="s">
        <v>41</v>
      </c>
      <c r="C2" s="56">
        <v>45776</v>
      </c>
      <c r="D2" s="56"/>
    </row>
    <row r="3" spans="1:4" ht="18.75">
      <c r="B3" s="21" t="s">
        <v>42</v>
      </c>
      <c r="C3" s="57" t="s">
        <v>43</v>
      </c>
      <c r="D3" s="57"/>
    </row>
    <row r="4" spans="1:4" ht="39" customHeight="1">
      <c r="B4" s="21" t="s">
        <v>44</v>
      </c>
      <c r="C4" s="57" t="s">
        <v>76</v>
      </c>
      <c r="D4" s="57"/>
    </row>
    <row r="6" spans="1:4" ht="23.25">
      <c r="A6" s="54" t="s">
        <v>46</v>
      </c>
      <c r="B6" s="54"/>
      <c r="C6" s="54"/>
      <c r="D6" s="54"/>
    </row>
    <row r="7" spans="1:4" ht="15" customHeight="1">
      <c r="A7" s="26" t="s">
        <v>47</v>
      </c>
      <c r="B7" s="27" t="s">
        <v>48</v>
      </c>
      <c r="C7" s="27" t="s">
        <v>49</v>
      </c>
      <c r="D7" s="28" t="s">
        <v>50</v>
      </c>
    </row>
    <row r="8" spans="1:4" ht="30.75">
      <c r="A8" s="13">
        <v>1</v>
      </c>
      <c r="B8" s="12" t="s">
        <v>51</v>
      </c>
      <c r="C8" s="11" t="s">
        <v>52</v>
      </c>
      <c r="D8" s="23"/>
    </row>
    <row r="9" spans="1:4" ht="30.75">
      <c r="A9" s="13">
        <v>2</v>
      </c>
      <c r="B9" s="12" t="s">
        <v>53</v>
      </c>
      <c r="C9" s="11" t="s">
        <v>52</v>
      </c>
      <c r="D9" s="23"/>
    </row>
    <row r="10" spans="1:4" ht="60.75">
      <c r="A10" s="13">
        <v>3</v>
      </c>
      <c r="B10" s="12" t="s">
        <v>54</v>
      </c>
      <c r="C10" s="11"/>
      <c r="D10" s="23" t="s">
        <v>52</v>
      </c>
    </row>
    <row r="11" spans="1:4" ht="30.75">
      <c r="A11" s="13">
        <v>4</v>
      </c>
      <c r="B11" s="12" t="s">
        <v>55</v>
      </c>
      <c r="C11" s="11" t="s">
        <v>52</v>
      </c>
      <c r="D11" s="23"/>
    </row>
    <row r="12" spans="1:4" ht="30.75">
      <c r="A12" s="13">
        <v>5</v>
      </c>
      <c r="B12" s="12" t="s">
        <v>56</v>
      </c>
      <c r="C12" s="11"/>
      <c r="D12" s="23" t="s">
        <v>52</v>
      </c>
    </row>
    <row r="13" spans="1:4" ht="30.75">
      <c r="A13" s="13">
        <v>6</v>
      </c>
      <c r="B13" s="12" t="s">
        <v>57</v>
      </c>
      <c r="C13" s="11" t="s">
        <v>52</v>
      </c>
      <c r="D13" s="23"/>
    </row>
    <row r="14" spans="1:4" ht="30.75">
      <c r="A14" s="13">
        <v>7</v>
      </c>
      <c r="B14" s="12" t="s">
        <v>58</v>
      </c>
      <c r="C14" s="11"/>
      <c r="D14" s="23" t="s">
        <v>52</v>
      </c>
    </row>
    <row r="15" spans="1:4" ht="45.75">
      <c r="A15" s="13">
        <v>8</v>
      </c>
      <c r="B15" s="12" t="s">
        <v>59</v>
      </c>
      <c r="C15" s="11" t="s">
        <v>52</v>
      </c>
      <c r="D15" s="23"/>
    </row>
    <row r="16" spans="1:4" ht="60.75">
      <c r="A16" s="17">
        <v>9</v>
      </c>
      <c r="B16" s="18" t="s">
        <v>60</v>
      </c>
      <c r="C16" s="24" t="s">
        <v>52</v>
      </c>
      <c r="D16" s="25"/>
    </row>
    <row r="17" spans="1:4" ht="18.75">
      <c r="A17" s="53" t="s">
        <v>61</v>
      </c>
      <c r="B17" s="53"/>
      <c r="C17">
        <f>COUNTA(Tabla328[SI])</f>
        <v>6</v>
      </c>
      <c r="D17">
        <f>COUNTA(Tabla328[[NO ]])</f>
        <v>3</v>
      </c>
    </row>
    <row r="18" spans="1:4" ht="18.75">
      <c r="A18" s="53" t="s">
        <v>62</v>
      </c>
      <c r="B18" s="53"/>
      <c r="C18" s="29">
        <f>C17/9</f>
        <v>0.66666666666666663</v>
      </c>
      <c r="D18" s="29">
        <f>D17/9</f>
        <v>0.33333333333333331</v>
      </c>
    </row>
    <row r="19" spans="1:4" ht="18.75">
      <c r="A19" s="30"/>
      <c r="B19" s="30"/>
      <c r="C19" s="29"/>
    </row>
    <row r="20" spans="1:4" ht="23.25">
      <c r="A20" s="59" t="s">
        <v>63</v>
      </c>
      <c r="B20" s="59"/>
      <c r="C20" s="59"/>
      <c r="D20" s="59"/>
    </row>
    <row r="21" spans="1:4" ht="21">
      <c r="A21" s="14" t="s">
        <v>47</v>
      </c>
      <c r="B21" s="22" t="s">
        <v>48</v>
      </c>
      <c r="C21" s="15" t="s">
        <v>49</v>
      </c>
      <c r="D21" s="16" t="s">
        <v>50</v>
      </c>
    </row>
    <row r="22" spans="1:4" ht="30.75">
      <c r="A22" s="13">
        <v>1</v>
      </c>
      <c r="B22" s="12" t="s">
        <v>64</v>
      </c>
      <c r="C22" s="11" t="s">
        <v>52</v>
      </c>
      <c r="D22" s="23"/>
    </row>
    <row r="23" spans="1:4" ht="30.75">
      <c r="A23" s="13">
        <v>2</v>
      </c>
      <c r="B23" s="12" t="s">
        <v>66</v>
      </c>
      <c r="C23" s="11"/>
      <c r="D23" s="23" t="s">
        <v>65</v>
      </c>
    </row>
    <row r="24" spans="1:4" ht="30.75">
      <c r="A24" s="13">
        <v>3</v>
      </c>
      <c r="B24" s="12" t="s">
        <v>67</v>
      </c>
      <c r="C24" s="11" t="s">
        <v>52</v>
      </c>
      <c r="D24" s="23"/>
    </row>
    <row r="25" spans="1:4" ht="30.75">
      <c r="A25" s="13">
        <v>4</v>
      </c>
      <c r="B25" s="12" t="s">
        <v>68</v>
      </c>
      <c r="C25" s="11" t="s">
        <v>52</v>
      </c>
      <c r="D25" s="23"/>
    </row>
    <row r="26" spans="1:4" ht="30.75">
      <c r="A26" s="17">
        <v>5</v>
      </c>
      <c r="B26" s="18" t="s">
        <v>69</v>
      </c>
      <c r="C26" s="24" t="s">
        <v>52</v>
      </c>
      <c r="D26" s="25"/>
    </row>
    <row r="27" spans="1:4" ht="18.75">
      <c r="A27" s="53" t="s">
        <v>61</v>
      </c>
      <c r="B27" s="53"/>
      <c r="C27">
        <f>COUNTA(Tabla439[SI])</f>
        <v>4</v>
      </c>
      <c r="D27">
        <f>COUNTA(Tabla439[[NO ]])</f>
        <v>1</v>
      </c>
    </row>
    <row r="28" spans="1:4" ht="18.75">
      <c r="A28" s="53" t="s">
        <v>62</v>
      </c>
      <c r="B28" s="53"/>
      <c r="C28" s="29">
        <f>C27/5</f>
        <v>0.8</v>
      </c>
      <c r="D28" s="29">
        <f>D27/5</f>
        <v>0.2</v>
      </c>
    </row>
    <row r="29" spans="1:4" ht="18.75">
      <c r="A29" s="30"/>
      <c r="B29" s="30"/>
      <c r="C29" s="29"/>
    </row>
    <row r="30" spans="1:4" ht="23.25">
      <c r="A30" s="54" t="s">
        <v>70</v>
      </c>
      <c r="B30" s="54"/>
      <c r="C30" s="54"/>
      <c r="D30" s="54"/>
    </row>
    <row r="31" spans="1:4" ht="21">
      <c r="A31" s="14" t="s">
        <v>47</v>
      </c>
      <c r="B31" s="22" t="s">
        <v>48</v>
      </c>
      <c r="C31" s="15" t="s">
        <v>49</v>
      </c>
      <c r="D31" s="16" t="s">
        <v>50</v>
      </c>
    </row>
    <row r="32" spans="1:4" ht="30.75">
      <c r="A32" s="13">
        <v>1</v>
      </c>
      <c r="B32" s="12" t="s">
        <v>71</v>
      </c>
      <c r="C32" s="11" t="s">
        <v>52</v>
      </c>
      <c r="D32" s="23"/>
    </row>
    <row r="33" spans="1:4" ht="45.75">
      <c r="A33" s="13">
        <v>2</v>
      </c>
      <c r="B33" s="12" t="s">
        <v>72</v>
      </c>
      <c r="C33" s="11" t="s">
        <v>52</v>
      </c>
      <c r="D33" s="23"/>
    </row>
    <row r="34" spans="1:4" ht="45.75">
      <c r="A34" s="17">
        <v>3</v>
      </c>
      <c r="B34" s="18" t="s">
        <v>73</v>
      </c>
      <c r="C34" s="24" t="s">
        <v>52</v>
      </c>
      <c r="D34" s="25"/>
    </row>
    <row r="35" spans="1:4" ht="18.75">
      <c r="A35" s="53" t="s">
        <v>61</v>
      </c>
      <c r="B35" s="53"/>
      <c r="C35">
        <f>COUNTA(Tabla5710[SI])</f>
        <v>3</v>
      </c>
      <c r="D35">
        <f>COUNTA(Tabla5710[[NO ]])</f>
        <v>0</v>
      </c>
    </row>
    <row r="36" spans="1:4" ht="18.75">
      <c r="A36" s="53" t="s">
        <v>62</v>
      </c>
      <c r="B36" s="53"/>
      <c r="C36" s="29">
        <f>C35/3</f>
        <v>1</v>
      </c>
      <c r="D36" s="29">
        <f>D35/3</f>
        <v>0</v>
      </c>
    </row>
    <row r="40" spans="1:4" ht="18.75">
      <c r="A40" s="58" t="s">
        <v>74</v>
      </c>
      <c r="B40" s="58"/>
      <c r="C40" s="58"/>
    </row>
    <row r="41" spans="1:4" ht="30" customHeight="1">
      <c r="B41" s="19" t="s">
        <v>75</v>
      </c>
      <c r="C41" s="31">
        <v>0.67</v>
      </c>
    </row>
    <row r="42" spans="1:4" ht="30" customHeight="1">
      <c r="B42" s="19" t="s">
        <v>63</v>
      </c>
      <c r="C42" s="31">
        <v>0.8</v>
      </c>
    </row>
    <row r="43" spans="1:4" ht="30" customHeight="1">
      <c r="B43" s="19" t="s">
        <v>70</v>
      </c>
      <c r="C43" s="32">
        <v>1</v>
      </c>
    </row>
  </sheetData>
  <mergeCells count="14">
    <mergeCell ref="A36:B36"/>
    <mergeCell ref="A40:C40"/>
    <mergeCell ref="A18:B18"/>
    <mergeCell ref="A20:D20"/>
    <mergeCell ref="A27:B27"/>
    <mergeCell ref="A28:B28"/>
    <mergeCell ref="A30:D30"/>
    <mergeCell ref="A35:B35"/>
    <mergeCell ref="A17:B17"/>
    <mergeCell ref="C1:D1"/>
    <mergeCell ref="C2:D2"/>
    <mergeCell ref="C3:D3"/>
    <mergeCell ref="C4:D4"/>
    <mergeCell ref="A6:D6"/>
  </mergeCells>
  <conditionalFormatting sqref="A32:D34">
    <cfRule type="containsText" dxfId="67" priority="8" operator="containsText" text="X">
      <formula>NOT(ISERROR(SEARCH("X",A32)))</formula>
    </cfRule>
  </conditionalFormatting>
  <conditionalFormatting sqref="C8:D16">
    <cfRule type="containsText" dxfId="66" priority="1" operator="containsText" text="X">
      <formula>NOT(ISERROR(SEARCH("X",C8)))</formula>
    </cfRule>
    <cfRule type="containsText" dxfId="65" priority="5" operator="containsText" text="X">
      <formula>NOT(ISERROR(SEARCH("X",C8)))</formula>
    </cfRule>
    <cfRule type="containsText" dxfId="64" priority="6" operator="containsText" text="X">
      <formula>NOT(ISERROR(SEARCH("X",C8)))</formula>
    </cfRule>
    <cfRule type="containsText" dxfId="63" priority="7" operator="containsText" text="X">
      <formula>NOT(ISERROR(SEARCH("X",C8)))</formula>
    </cfRule>
  </conditionalFormatting>
  <conditionalFormatting sqref="C22:D26">
    <cfRule type="containsText" dxfId="62" priority="2" operator="containsText" text="X">
      <formula>NOT(ISERROR(SEARCH("X",C22)))</formula>
    </cfRule>
    <cfRule type="containsText" dxfId="61" priority="4" operator="containsText" text="X">
      <formula>NOT(ISERROR(SEARCH("X",C22)))</formula>
    </cfRule>
  </conditionalFormatting>
  <conditionalFormatting sqref="C32:D34">
    <cfRule type="containsText" dxfId="60" priority="3" operator="containsText" text="X">
      <formula>NOT(ISERROR(SEARCH("X",C32)))</formula>
    </cfRule>
  </conditionalFormatting>
  <pageMargins left="0.7" right="0.7" top="0.75" bottom="0.75" header="0.3" footer="0.3"/>
  <pageSetup paperSize="9" orientation="portrait"/>
  <drawing r:id="rId1"/>
  <legacyDrawing r:id="rId2"/>
  <tableParts count="3">
    <tablePart r:id="rId3"/>
    <tablePart r:id="rId4"/>
    <tablePart r:id="rId5"/>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FE556-42E3-4351-B29A-96780605309B}">
  <dimension ref="A1:D43"/>
  <sheetViews>
    <sheetView topLeftCell="A4" workbookViewId="0"/>
  </sheetViews>
  <sheetFormatPr defaultColWidth="11.42578125" defaultRowHeight="15"/>
  <cols>
    <col min="2" max="2" width="36" bestFit="1" customWidth="1"/>
    <col min="3" max="3" width="16.28515625" customWidth="1"/>
  </cols>
  <sheetData>
    <row r="1" spans="1:4" s="19" customFormat="1" ht="38.25" customHeight="1">
      <c r="B1" s="20" t="s">
        <v>39</v>
      </c>
      <c r="C1" s="55" t="s">
        <v>40</v>
      </c>
      <c r="D1" s="55"/>
    </row>
    <row r="2" spans="1:4" ht="18.75">
      <c r="B2" s="21" t="s">
        <v>41</v>
      </c>
      <c r="C2" s="56">
        <v>45776</v>
      </c>
      <c r="D2" s="56"/>
    </row>
    <row r="3" spans="1:4" ht="18.75">
      <c r="B3" s="21" t="s">
        <v>42</v>
      </c>
      <c r="C3" s="57" t="s">
        <v>43</v>
      </c>
      <c r="D3" s="57"/>
    </row>
    <row r="4" spans="1:4" ht="39" customHeight="1">
      <c r="B4" s="21" t="s">
        <v>44</v>
      </c>
      <c r="C4" s="57" t="s">
        <v>77</v>
      </c>
      <c r="D4" s="57"/>
    </row>
    <row r="6" spans="1:4" ht="23.25">
      <c r="A6" s="54" t="s">
        <v>46</v>
      </c>
      <c r="B6" s="54"/>
      <c r="C6" s="54"/>
      <c r="D6" s="54"/>
    </row>
    <row r="7" spans="1:4" ht="15" customHeight="1">
      <c r="A7" s="26" t="s">
        <v>47</v>
      </c>
      <c r="B7" s="27" t="s">
        <v>48</v>
      </c>
      <c r="C7" s="27" t="s">
        <v>49</v>
      </c>
      <c r="D7" s="28" t="s">
        <v>50</v>
      </c>
    </row>
    <row r="8" spans="1:4" ht="30.75">
      <c r="A8" s="13">
        <v>1</v>
      </c>
      <c r="B8" s="12" t="s">
        <v>51</v>
      </c>
      <c r="C8" s="11" t="s">
        <v>52</v>
      </c>
      <c r="D8" s="23"/>
    </row>
    <row r="9" spans="1:4" ht="30.75">
      <c r="A9" s="13">
        <v>2</v>
      </c>
      <c r="B9" s="12" t="s">
        <v>53</v>
      </c>
      <c r="C9" s="11" t="s">
        <v>52</v>
      </c>
      <c r="D9" s="23"/>
    </row>
    <row r="10" spans="1:4" ht="60.75">
      <c r="A10" s="13">
        <v>3</v>
      </c>
      <c r="B10" s="12" t="s">
        <v>54</v>
      </c>
      <c r="C10" s="11"/>
      <c r="D10" s="23" t="s">
        <v>52</v>
      </c>
    </row>
    <row r="11" spans="1:4" ht="30.75">
      <c r="A11" s="13">
        <v>4</v>
      </c>
      <c r="B11" s="12" t="s">
        <v>55</v>
      </c>
      <c r="C11" s="11" t="s">
        <v>52</v>
      </c>
      <c r="D11" s="23"/>
    </row>
    <row r="12" spans="1:4" ht="30.75">
      <c r="A12" s="13">
        <v>5</v>
      </c>
      <c r="B12" s="12" t="s">
        <v>56</v>
      </c>
      <c r="C12" s="11" t="s">
        <v>52</v>
      </c>
      <c r="D12" s="23"/>
    </row>
    <row r="13" spans="1:4" ht="30.75">
      <c r="A13" s="13">
        <v>6</v>
      </c>
      <c r="B13" s="12" t="s">
        <v>57</v>
      </c>
      <c r="C13" s="11" t="s">
        <v>52</v>
      </c>
      <c r="D13" s="23"/>
    </row>
    <row r="14" spans="1:4" ht="30.75">
      <c r="A14" s="13">
        <v>7</v>
      </c>
      <c r="B14" s="12" t="s">
        <v>58</v>
      </c>
      <c r="C14" s="11"/>
      <c r="D14" s="23" t="s">
        <v>52</v>
      </c>
    </row>
    <row r="15" spans="1:4" ht="45.75">
      <c r="A15" s="13">
        <v>8</v>
      </c>
      <c r="B15" s="12" t="s">
        <v>59</v>
      </c>
      <c r="C15" s="11" t="s">
        <v>52</v>
      </c>
      <c r="D15" s="23"/>
    </row>
    <row r="16" spans="1:4" ht="60.75">
      <c r="A16" s="17">
        <v>9</v>
      </c>
      <c r="B16" s="18" t="s">
        <v>60</v>
      </c>
      <c r="C16" s="24" t="s">
        <v>52</v>
      </c>
      <c r="D16" s="25"/>
    </row>
    <row r="17" spans="1:4" ht="18.75">
      <c r="A17" s="53" t="s">
        <v>61</v>
      </c>
      <c r="B17" s="53"/>
      <c r="C17">
        <f>COUNTA(Tabla32811[SI])</f>
        <v>7</v>
      </c>
      <c r="D17">
        <f>COUNTA(Tabla32811[[NO ]])</f>
        <v>2</v>
      </c>
    </row>
    <row r="18" spans="1:4" ht="18.75">
      <c r="A18" s="53" t="s">
        <v>62</v>
      </c>
      <c r="B18" s="53"/>
      <c r="C18" s="29">
        <f>C17/9</f>
        <v>0.77777777777777779</v>
      </c>
      <c r="D18" s="29">
        <f>D17/9</f>
        <v>0.22222222222222221</v>
      </c>
    </row>
    <row r="19" spans="1:4" ht="18.75">
      <c r="A19" s="30"/>
      <c r="B19" s="30"/>
      <c r="C19" s="29"/>
    </row>
    <row r="20" spans="1:4" ht="23.25">
      <c r="A20" s="59" t="s">
        <v>63</v>
      </c>
      <c r="B20" s="59"/>
      <c r="C20" s="59"/>
      <c r="D20" s="59"/>
    </row>
    <row r="21" spans="1:4" ht="21">
      <c r="A21" s="14" t="s">
        <v>47</v>
      </c>
      <c r="B21" s="22" t="s">
        <v>48</v>
      </c>
      <c r="C21" s="15" t="s">
        <v>49</v>
      </c>
      <c r="D21" s="16" t="s">
        <v>50</v>
      </c>
    </row>
    <row r="22" spans="1:4" ht="30.75">
      <c r="A22" s="13">
        <v>1</v>
      </c>
      <c r="B22" s="12" t="s">
        <v>64</v>
      </c>
      <c r="C22" s="11" t="s">
        <v>52</v>
      </c>
      <c r="D22" s="23"/>
    </row>
    <row r="23" spans="1:4" ht="30.75">
      <c r="A23" s="13">
        <v>2</v>
      </c>
      <c r="B23" s="12" t="s">
        <v>66</v>
      </c>
      <c r="C23" s="11"/>
      <c r="D23" s="23" t="s">
        <v>65</v>
      </c>
    </row>
    <row r="24" spans="1:4" ht="30.75">
      <c r="A24" s="13">
        <v>3</v>
      </c>
      <c r="B24" s="12" t="s">
        <v>67</v>
      </c>
      <c r="C24" s="11" t="s">
        <v>52</v>
      </c>
      <c r="D24" s="23"/>
    </row>
    <row r="25" spans="1:4" ht="30.75">
      <c r="A25" s="13">
        <v>4</v>
      </c>
      <c r="B25" s="12" t="s">
        <v>68</v>
      </c>
      <c r="C25" s="11" t="s">
        <v>52</v>
      </c>
      <c r="D25" s="23"/>
    </row>
    <row r="26" spans="1:4" ht="30.75">
      <c r="A26" s="17">
        <v>5</v>
      </c>
      <c r="B26" s="18" t="s">
        <v>69</v>
      </c>
      <c r="C26" s="24" t="s">
        <v>52</v>
      </c>
      <c r="D26" s="25"/>
    </row>
    <row r="27" spans="1:4" ht="18.75">
      <c r="A27" s="53" t="s">
        <v>61</v>
      </c>
      <c r="B27" s="53"/>
      <c r="C27">
        <f>COUNTA(Tabla43912[SI])</f>
        <v>4</v>
      </c>
      <c r="D27">
        <f>COUNTA(Tabla43912[[NO ]])</f>
        <v>1</v>
      </c>
    </row>
    <row r="28" spans="1:4" ht="18.75">
      <c r="A28" s="53" t="s">
        <v>62</v>
      </c>
      <c r="B28" s="53"/>
      <c r="C28" s="29">
        <f>C27/5</f>
        <v>0.8</v>
      </c>
      <c r="D28" s="29">
        <f>D27/5</f>
        <v>0.2</v>
      </c>
    </row>
    <row r="29" spans="1:4" ht="18.75">
      <c r="A29" s="30"/>
      <c r="B29" s="30"/>
      <c r="C29" s="29"/>
    </row>
    <row r="30" spans="1:4" ht="23.25">
      <c r="A30" s="54" t="s">
        <v>70</v>
      </c>
      <c r="B30" s="54"/>
      <c r="C30" s="54"/>
      <c r="D30" s="54"/>
    </row>
    <row r="31" spans="1:4" ht="21">
      <c r="A31" s="14" t="s">
        <v>47</v>
      </c>
      <c r="B31" s="22" t="s">
        <v>48</v>
      </c>
      <c r="C31" s="15" t="s">
        <v>49</v>
      </c>
      <c r="D31" s="16" t="s">
        <v>50</v>
      </c>
    </row>
    <row r="32" spans="1:4" ht="30.75">
      <c r="A32" s="13">
        <v>1</v>
      </c>
      <c r="B32" s="12" t="s">
        <v>71</v>
      </c>
      <c r="C32" s="11" t="s">
        <v>52</v>
      </c>
      <c r="D32" s="23"/>
    </row>
    <row r="33" spans="1:4" ht="45.75">
      <c r="A33" s="13">
        <v>2</v>
      </c>
      <c r="B33" s="12" t="s">
        <v>72</v>
      </c>
      <c r="C33" s="11" t="s">
        <v>52</v>
      </c>
      <c r="D33" s="23"/>
    </row>
    <row r="34" spans="1:4" ht="45.75">
      <c r="A34" s="17">
        <v>3</v>
      </c>
      <c r="B34" s="18" t="s">
        <v>73</v>
      </c>
      <c r="C34" s="24" t="s">
        <v>52</v>
      </c>
      <c r="D34" s="25"/>
    </row>
    <row r="35" spans="1:4" ht="18.75">
      <c r="A35" s="53" t="s">
        <v>61</v>
      </c>
      <c r="B35" s="53"/>
      <c r="C35">
        <f>COUNTA(Tabla571013[SI])</f>
        <v>3</v>
      </c>
      <c r="D35">
        <f>COUNTA(Tabla571013[[NO ]])</f>
        <v>0</v>
      </c>
    </row>
    <row r="36" spans="1:4" ht="18.75">
      <c r="A36" s="53" t="s">
        <v>62</v>
      </c>
      <c r="B36" s="53"/>
      <c r="C36" s="29">
        <f>C35/3</f>
        <v>1</v>
      </c>
      <c r="D36" s="29">
        <f>D35/3</f>
        <v>0</v>
      </c>
    </row>
    <row r="40" spans="1:4" ht="18.75">
      <c r="A40" s="58" t="s">
        <v>74</v>
      </c>
      <c r="B40" s="58"/>
      <c r="C40" s="58"/>
    </row>
    <row r="41" spans="1:4" ht="30" customHeight="1">
      <c r="B41" s="19" t="s">
        <v>75</v>
      </c>
      <c r="C41" s="31">
        <v>0.78</v>
      </c>
    </row>
    <row r="42" spans="1:4" ht="30" customHeight="1">
      <c r="B42" s="19" t="s">
        <v>63</v>
      </c>
      <c r="C42" s="31">
        <v>0.8</v>
      </c>
    </row>
    <row r="43" spans="1:4" ht="30" customHeight="1">
      <c r="B43" s="19" t="s">
        <v>70</v>
      </c>
      <c r="C43" s="32">
        <v>1</v>
      </c>
    </row>
  </sheetData>
  <mergeCells count="14">
    <mergeCell ref="A36:B36"/>
    <mergeCell ref="A40:C40"/>
    <mergeCell ref="A18:B18"/>
    <mergeCell ref="A20:D20"/>
    <mergeCell ref="A27:B27"/>
    <mergeCell ref="A28:B28"/>
    <mergeCell ref="A30:D30"/>
    <mergeCell ref="A35:B35"/>
    <mergeCell ref="C1:D1"/>
    <mergeCell ref="C2:D2"/>
    <mergeCell ref="C3:D3"/>
    <mergeCell ref="C4:D4"/>
    <mergeCell ref="A6:D6"/>
    <mergeCell ref="A17:B17"/>
  </mergeCells>
  <conditionalFormatting sqref="A32:D34">
    <cfRule type="containsText" dxfId="33" priority="8" operator="containsText" text="X">
      <formula>NOT(ISERROR(SEARCH("X",A32)))</formula>
    </cfRule>
  </conditionalFormatting>
  <conditionalFormatting sqref="C8:D16">
    <cfRule type="containsText" dxfId="32" priority="1" operator="containsText" text="X">
      <formula>NOT(ISERROR(SEARCH("X",C8)))</formula>
    </cfRule>
    <cfRule type="containsText" dxfId="31" priority="5" operator="containsText" text="X">
      <formula>NOT(ISERROR(SEARCH("X",C8)))</formula>
    </cfRule>
    <cfRule type="containsText" dxfId="30" priority="6" operator="containsText" text="X">
      <formula>NOT(ISERROR(SEARCH("X",C8)))</formula>
    </cfRule>
    <cfRule type="containsText" dxfId="29" priority="7" operator="containsText" text="X">
      <formula>NOT(ISERROR(SEARCH("X",C8)))</formula>
    </cfRule>
  </conditionalFormatting>
  <conditionalFormatting sqref="C22:D26">
    <cfRule type="containsText" dxfId="28" priority="2" operator="containsText" text="X">
      <formula>NOT(ISERROR(SEARCH("X",C22)))</formula>
    </cfRule>
    <cfRule type="containsText" dxfId="27" priority="4" operator="containsText" text="X">
      <formula>NOT(ISERROR(SEARCH("X",C22)))</formula>
    </cfRule>
  </conditionalFormatting>
  <conditionalFormatting sqref="C32:D34">
    <cfRule type="containsText" dxfId="26" priority="3" operator="containsText" text="X">
      <formula>NOT(ISERROR(SEARCH("X",C32)))</formula>
    </cfRule>
  </conditionalFormatting>
  <pageMargins left="0.7" right="0.7" top="0.75" bottom="0.75" header="0.3" footer="0.3"/>
  <pageSetup paperSize="9" orientation="portrait"/>
  <drawing r:id="rId1"/>
  <legacyDrawing r:id="rId2"/>
  <tableParts count="3">
    <tablePart r:id="rId3"/>
    <tablePart r:id="rId4"/>
    <tablePart r:id="rId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0"/>
  <sheetViews>
    <sheetView tabSelected="1" topLeftCell="A26" workbookViewId="0">
      <selection activeCell="C27" sqref="C27"/>
    </sheetView>
  </sheetViews>
  <sheetFormatPr defaultColWidth="11.42578125" defaultRowHeight="14.45"/>
  <cols>
    <col min="1" max="1" width="53.5703125" customWidth="1"/>
    <col min="2" max="2" width="89" customWidth="1"/>
  </cols>
  <sheetData>
    <row r="1" spans="1:2" ht="15">
      <c r="A1" t="s">
        <v>78</v>
      </c>
    </row>
    <row r="2" spans="1:2" ht="26.25">
      <c r="A2" s="35" t="s">
        <v>79</v>
      </c>
      <c r="B2" s="35" t="s">
        <v>80</v>
      </c>
    </row>
    <row r="3" spans="1:2" ht="91.5">
      <c r="A3" s="33" t="s">
        <v>54</v>
      </c>
      <c r="B3" s="12" t="s">
        <v>81</v>
      </c>
    </row>
    <row r="4" spans="1:2" ht="45.75">
      <c r="A4" s="34" t="s">
        <v>56</v>
      </c>
      <c r="B4" s="12" t="s">
        <v>82</v>
      </c>
    </row>
    <row r="5" spans="1:2" ht="60.75">
      <c r="A5" s="34" t="s">
        <v>66</v>
      </c>
      <c r="B5" s="12" t="s">
        <v>83</v>
      </c>
    </row>
    <row r="6" spans="1:2" ht="30.75">
      <c r="A6" s="34" t="s">
        <v>67</v>
      </c>
      <c r="B6" s="12" t="s">
        <v>84</v>
      </c>
    </row>
    <row r="7" spans="1:2" ht="15"/>
    <row r="8" spans="1:2" ht="15"/>
    <row r="9" spans="1:2" ht="15">
      <c r="A9" t="s">
        <v>85</v>
      </c>
    </row>
    <row r="10" spans="1:2" ht="26.25">
      <c r="A10" s="35" t="s">
        <v>79</v>
      </c>
      <c r="B10" s="35" t="s">
        <v>80</v>
      </c>
    </row>
    <row r="11" spans="1:2" ht="91.5">
      <c r="A11" s="33" t="s">
        <v>54</v>
      </c>
      <c r="B11" s="12" t="s">
        <v>81</v>
      </c>
    </row>
    <row r="12" spans="1:2" ht="45.75">
      <c r="A12" s="34" t="s">
        <v>56</v>
      </c>
      <c r="B12" s="12" t="s">
        <v>86</v>
      </c>
    </row>
    <row r="13" spans="1:2" ht="60.75">
      <c r="A13" s="34" t="s">
        <v>66</v>
      </c>
      <c r="B13" s="12" t="s">
        <v>83</v>
      </c>
    </row>
    <row r="14" spans="1:2" ht="30.75">
      <c r="A14" s="34" t="s">
        <v>67</v>
      </c>
      <c r="B14" s="12" t="s">
        <v>84</v>
      </c>
    </row>
    <row r="15" spans="1:2" ht="15"/>
    <row r="16" spans="1:2" ht="15">
      <c r="A16" t="s">
        <v>87</v>
      </c>
    </row>
    <row r="17" spans="1:2" ht="26.25">
      <c r="A17" s="35" t="s">
        <v>79</v>
      </c>
      <c r="B17" s="35" t="s">
        <v>80</v>
      </c>
    </row>
    <row r="18" spans="1:2" ht="91.5">
      <c r="A18" s="33" t="s">
        <v>54</v>
      </c>
      <c r="B18" s="12" t="s">
        <v>88</v>
      </c>
    </row>
    <row r="19" spans="1:2" ht="45.75">
      <c r="A19" s="34" t="s">
        <v>56</v>
      </c>
      <c r="B19" s="12" t="s">
        <v>89</v>
      </c>
    </row>
    <row r="20" spans="1:2" ht="60.75">
      <c r="A20" s="34" t="s">
        <v>66</v>
      </c>
      <c r="B20" s="12" t="s">
        <v>83</v>
      </c>
    </row>
    <row r="21" spans="1:2" ht="30.75">
      <c r="A21" s="34" t="s">
        <v>67</v>
      </c>
      <c r="B21" s="12" t="s">
        <v>84</v>
      </c>
    </row>
    <row r="22" spans="1:2" ht="15"/>
    <row r="23" spans="1:2" ht="15"/>
    <row r="24" spans="1:2" ht="15">
      <c r="A24" t="s">
        <v>90</v>
      </c>
    </row>
    <row r="25" spans="1:2" ht="26.25">
      <c r="A25" s="35" t="s">
        <v>79</v>
      </c>
      <c r="B25" s="35" t="s">
        <v>80</v>
      </c>
    </row>
    <row r="26" spans="1:2" ht="91.5">
      <c r="A26" s="33" t="s">
        <v>54</v>
      </c>
      <c r="B26" s="12" t="s">
        <v>91</v>
      </c>
    </row>
    <row r="27" spans="1:2" ht="45.75">
      <c r="A27" s="34" t="s">
        <v>56</v>
      </c>
      <c r="B27" s="12" t="s">
        <v>92</v>
      </c>
    </row>
    <row r="28" spans="1:2" ht="60.75">
      <c r="A28" s="34" t="s">
        <v>66</v>
      </c>
      <c r="B28" s="12" t="s">
        <v>83</v>
      </c>
    </row>
    <row r="29" spans="1:2" ht="30.75">
      <c r="A29" s="34" t="s">
        <v>67</v>
      </c>
      <c r="B29" s="12" t="s">
        <v>84</v>
      </c>
    </row>
    <row r="30" spans="1:2" 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2bf9113a-fc96-4f28-9cd3-b2308782b0f8"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549FA4549595714BA334CC53C61409A7" ma:contentTypeVersion="6" ma:contentTypeDescription="Crear nuevo documento." ma:contentTypeScope="" ma:versionID="3a85ff38e0b106b866fc74eb098f40e9">
  <xsd:schema xmlns:xsd="http://www.w3.org/2001/XMLSchema" xmlns:xs="http://www.w3.org/2001/XMLSchema" xmlns:p="http://schemas.microsoft.com/office/2006/metadata/properties" xmlns:ns3="2bf9113a-fc96-4f28-9cd3-b2308782b0f8" targetNamespace="http://schemas.microsoft.com/office/2006/metadata/properties" ma:root="true" ma:fieldsID="d7a416bbb40b655a5520710a70db9eff" ns3:_="">
    <xsd:import namespace="2bf9113a-fc96-4f28-9cd3-b2308782b0f8"/>
    <xsd:element name="properties">
      <xsd:complexType>
        <xsd:sequence>
          <xsd:element name="documentManagement">
            <xsd:complexType>
              <xsd:all>
                <xsd:element ref="ns3:MediaServiceMetadata" minOccurs="0"/>
                <xsd:element ref="ns3:MediaServiceFastMetadata" minOccurs="0"/>
                <xsd:element ref="ns3:MediaServiceDateTaken" minOccurs="0"/>
                <xsd:element ref="ns3:_activity"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f9113a-fc96-4f28-9cd3-b2308782b0f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_activity" ma:index="11" nillable="true" ma:displayName="_activity" ma:hidden="true" ma:internalName="_activity">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E46584A-F99B-4CD5-A920-25E190C8B8DC}"/>
</file>

<file path=customXml/itemProps2.xml><?xml version="1.0" encoding="utf-8"?>
<ds:datastoreItem xmlns:ds="http://schemas.openxmlformats.org/officeDocument/2006/customXml" ds:itemID="{CD9EE273-671B-4734-9E3C-C4D82DE74DD8}"/>
</file>

<file path=customXml/itemProps3.xml><?xml version="1.0" encoding="utf-8"?>
<ds:datastoreItem xmlns:ds="http://schemas.openxmlformats.org/officeDocument/2006/customXml" ds:itemID="{1BD1697D-9F7A-454B-91D1-00B4307EA1A2}"/>
</file>

<file path=docProps/app.xml><?xml version="1.0" encoding="utf-8"?>
<Properties xmlns="http://schemas.openxmlformats.org/officeDocument/2006/extended-properties" xmlns:vt="http://schemas.openxmlformats.org/officeDocument/2006/docPropsVTypes">
  <Application>Microsoft Excel Online</Application>
  <Manager/>
  <Company>GM</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Xavier I Lucio Moreno</dc:creator>
  <cp:keywords/>
  <dc:description/>
  <cp:lastModifiedBy/>
  <cp:revision/>
  <dcterms:created xsi:type="dcterms:W3CDTF">2012-02-10T17:24:46Z</dcterms:created>
  <dcterms:modified xsi:type="dcterms:W3CDTF">2025-06-03T12:18:49Z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0x010100549FA4549595714BA334CC53C61409A7</vt:lpwstr>
  </property>
</Properties>
</file>