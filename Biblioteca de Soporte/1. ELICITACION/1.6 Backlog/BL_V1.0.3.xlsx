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esktop\6TO SEMESTRE\ANALISIS Y DISEÑO DE SOFTWARE\PRIMER PARCIAL\22426_G2_ADS\Biblioteca de Soporte\1. ELICITACION\1.6 Backlog\"/>
    </mc:Choice>
  </mc:AlternateContent>
  <xr:revisionPtr revIDLastSave="0" documentId="13_ncr:1_{20027174-464B-47E4-84A0-7FD097BB2E5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acklog" sheetId="1" r:id="rId1"/>
    <sheet name="sprint0" sheetId="2" r:id="rId2"/>
    <sheet name="burdonch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umbVZyOcx52yre52oR6StKY4AhwVaEfQZSgxcWGFbfY="/>
    </ext>
  </extLst>
</workbook>
</file>

<file path=xl/calcChain.xml><?xml version="1.0" encoding="utf-8"?>
<calcChain xmlns="http://schemas.openxmlformats.org/spreadsheetml/2006/main">
  <c r="W30" i="3" l="1"/>
  <c r="W36" i="3"/>
  <c r="W37" i="3"/>
  <c r="W38" i="3"/>
  <c r="W35" i="3"/>
  <c r="W28" i="3"/>
  <c r="W29" i="3"/>
  <c r="W31" i="3"/>
  <c r="W32" i="3"/>
  <c r="W33" i="3"/>
  <c r="W34" i="3"/>
  <c r="W27" i="3"/>
  <c r="W25" i="3"/>
  <c r="W26" i="3"/>
  <c r="W19" i="3"/>
  <c r="W20" i="3"/>
  <c r="W21" i="3"/>
  <c r="W22" i="3"/>
  <c r="W23" i="3"/>
  <c r="W24" i="3"/>
  <c r="W18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4" i="3"/>
  <c r="C40" i="3"/>
  <c r="D40" i="3" s="1"/>
  <c r="E40" i="3" s="1"/>
  <c r="F40" i="3" s="1"/>
  <c r="G40" i="3" s="1"/>
  <c r="H40" i="3" s="1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U40" i="3" s="1"/>
  <c r="V40" i="3" s="1"/>
  <c r="C39" i="3"/>
  <c r="D39" i="3" s="1"/>
  <c r="E39" i="3" s="1"/>
  <c r="F39" i="3" s="1"/>
  <c r="G39" i="3" s="1"/>
  <c r="H39" i="3" s="1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U39" i="3" s="1"/>
  <c r="V39" i="3" s="1"/>
</calcChain>
</file>

<file path=xl/sharedStrings.xml><?xml version="1.0" encoding="utf-8"?>
<sst xmlns="http://schemas.openxmlformats.org/spreadsheetml/2006/main" count="410" uniqueCount="190">
  <si>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</si>
  <si>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</si>
  <si>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</si>
  <si>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</si>
  <si>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</si>
  <si>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</si>
  <si>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</si>
  <si>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</si>
  <si>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SPRING 1</t>
  </si>
  <si>
    <t>REQ-001</t>
  </si>
  <si>
    <t>Iniciar Sesion</t>
  </si>
  <si>
    <t>Administrador</t>
  </si>
  <si>
    <t>Ingresar al sistema</t>
  </si>
  <si>
    <t>Tener acceso a las funcionalidades imlementads en el sistema</t>
  </si>
  <si>
    <t>Alta</t>
  </si>
  <si>
    <t>En proceso</t>
  </si>
  <si>
    <t>REQ-002</t>
  </si>
  <si>
    <t>Registro de Materia Prima</t>
  </si>
  <si>
    <t>Estar logeado en el sistema</t>
  </si>
  <si>
    <t>Crear una materia prima y esta quede registrada en el sistema</t>
  </si>
  <si>
    <t>REQ-003</t>
  </si>
  <si>
    <t>Actualización de Materia Prima</t>
  </si>
  <si>
    <t>Actualizar la informacion de una materia prima en especifico</t>
  </si>
  <si>
    <t>REQ-004</t>
  </si>
  <si>
    <t>Consultar Materia Prima</t>
  </si>
  <si>
    <t>Ver que materia primas se encuentran refistradas en el sistema</t>
  </si>
  <si>
    <t>REQ-005</t>
  </si>
  <si>
    <t>Eliminar Materia Prima</t>
  </si>
  <si>
    <t xml:space="preserve">Eliminar del sistema una Materia Prima </t>
  </si>
  <si>
    <t>Media</t>
  </si>
  <si>
    <t>SPRING 2</t>
  </si>
  <si>
    <t>REQ-006</t>
  </si>
  <si>
    <t>Crear una Orden de Trabajo </t>
  </si>
  <si>
    <t>Crear una Orden de Trabajoy esta quede registrada en el sistema</t>
  </si>
  <si>
    <t>REQ-007</t>
  </si>
  <si>
    <t>Buscar Orden de Trabajo</t>
  </si>
  <si>
    <t>Buscar una Orden de Trabajo en especifica</t>
  </si>
  <si>
    <t>REQ-008</t>
  </si>
  <si>
    <t xml:space="preserve">Eliminar una Orden de Trabajo </t>
  </si>
  <si>
    <t>Eliminar del sistema una Orden de Trabajo</t>
  </si>
  <si>
    <t>SPRING 3</t>
  </si>
  <si>
    <t>REQ-009</t>
  </si>
  <si>
    <t>Generar reportes por fechas</t>
  </si>
  <si>
    <t>Generar reportes de mi inventario de materia prima por fechas</t>
  </si>
  <si>
    <t>REQ-010</t>
  </si>
  <si>
    <t xml:space="preserve">Generar reportes por Materia prima </t>
  </si>
  <si>
    <t>Generar reportes de mi inventario de una materia prima en especifico</t>
  </si>
  <si>
    <t>Necesito</t>
  </si>
  <si>
    <t>así podre...</t>
  </si>
  <si>
    <t>Prioridad</t>
  </si>
  <si>
    <t>Status</t>
  </si>
  <si>
    <t>iniciar sesion</t>
  </si>
  <si>
    <t>Realizar todas las actividades del inventsrio</t>
  </si>
  <si>
    <t>No iniciado</t>
  </si>
  <si>
    <t>Tareas</t>
  </si>
  <si>
    <t>Asignado</t>
  </si>
  <si>
    <t>Estimado</t>
  </si>
  <si>
    <t>REQ001-1</t>
  </si>
  <si>
    <t>Gabriel Reinoso</t>
  </si>
  <si>
    <t>REQ001-2</t>
  </si>
  <si>
    <t>Ariel Guevara</t>
  </si>
  <si>
    <t>REQ001-3</t>
  </si>
  <si>
    <t>REQ001-4</t>
  </si>
  <si>
    <t>Micaela Salcedo</t>
  </si>
  <si>
    <t>ingresar nueva materia prima</t>
  </si>
  <si>
    <t xml:space="preserve">Visualizar la materia prima </t>
  </si>
  <si>
    <t>REQ002-1</t>
  </si>
  <si>
    <t>REQ002-2</t>
  </si>
  <si>
    <t>REQ002-3</t>
  </si>
  <si>
    <t>REQ003-1</t>
  </si>
  <si>
    <t>REQ003-2</t>
  </si>
  <si>
    <t>REQ003-3</t>
  </si>
  <si>
    <t>REQ004-1</t>
  </si>
  <si>
    <t>REQ004-2</t>
  </si>
  <si>
    <t>REQ005-1</t>
  </si>
  <si>
    <t>REQ005-2</t>
  </si>
  <si>
    <t>REQUERIMIENTO</t>
  </si>
  <si>
    <t>Dia 5</t>
  </si>
  <si>
    <t>Dia 4</t>
  </si>
  <si>
    <t>Dia 3</t>
  </si>
  <si>
    <t>Dia 2</t>
  </si>
  <si>
    <t>Dia 1</t>
  </si>
  <si>
    <t>Total de Horas</t>
  </si>
  <si>
    <t>REQ006-2</t>
  </si>
  <si>
    <t>REQ006-3</t>
  </si>
  <si>
    <t>REQ006-4</t>
  </si>
  <si>
    <t>REQ007-1</t>
  </si>
  <si>
    <t>REQ007-2</t>
  </si>
  <si>
    <t>REQ008-1</t>
  </si>
  <si>
    <t>REQ008-2</t>
  </si>
  <si>
    <t>REQ009-2</t>
  </si>
  <si>
    <t>REQ010-1</t>
  </si>
  <si>
    <t>REQ010-2</t>
  </si>
  <si>
    <t>Horas Estimadas</t>
  </si>
  <si>
    <t>Horas Estimadas
Restantes</t>
  </si>
  <si>
    <t>REQ006-1</t>
  </si>
  <si>
    <t>Terminado</t>
  </si>
  <si>
    <t>REQ009-1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</si>
  <si>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</si>
  <si>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</si>
  <si>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</si>
  <si>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</si>
  <si>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</si>
  <si>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</si>
  <si>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</si>
  <si>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</si>
  <si>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</si>
  <si>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</si>
  <si>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</si>
  <si>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18</t>
  </si>
  <si>
    <t>Dia 19</t>
  </si>
  <si>
    <t>Dia 20</t>
  </si>
  <si>
    <t>REQ001</t>
  </si>
  <si>
    <t>Inicion Sesion</t>
  </si>
  <si>
    <t>Crear un formulario para iniciar sesión.</t>
  </si>
  <si>
    <t>Validación de campos</t>
  </si>
  <si>
    <t>Diseñar la base de datos</t>
  </si>
  <si>
    <t>Verificar en la base de datos</t>
  </si>
  <si>
    <t>REQ002</t>
  </si>
  <si>
    <t>Registro de la materia prima</t>
  </si>
  <si>
    <t>Diseño de la interfaz Materia Prima</t>
  </si>
  <si>
    <t>Diseño formulario de registro materia prima</t>
  </si>
  <si>
    <t>Registrar información de materia prima</t>
  </si>
  <si>
    <t>REQ003</t>
  </si>
  <si>
    <t>Actualizacion de la materia prima</t>
  </si>
  <si>
    <t>Actualizar materia prima</t>
  </si>
  <si>
    <t>generar cambios si es que hay movimiento en el inventario</t>
  </si>
  <si>
    <t>Diseño interfaz de ventana emergente para actualización de datos</t>
  </si>
  <si>
    <t>Diseño formulario de actualización materia prima</t>
  </si>
  <si>
    <t>Registrar información actualizada</t>
  </si>
  <si>
    <t>REQ004</t>
  </si>
  <si>
    <t>Consultar materia prima</t>
  </si>
  <si>
    <t>Consultar la materia prima</t>
  </si>
  <si>
    <t>Revisar la disponibilidad de una materia prima en especifico</t>
  </si>
  <si>
    <t>Diseñar el apartado para la busqueda de las materia prima</t>
  </si>
  <si>
    <t>Verificacion de informacion con la base de datos</t>
  </si>
  <si>
    <t>REQ005</t>
  </si>
  <si>
    <t>Eliminar materia prima</t>
  </si>
  <si>
    <t>Eliminar la materia prima</t>
  </si>
  <si>
    <t>Eliminar las materias primas que ya no cuenten con ninguna unidad en stock</t>
  </si>
  <si>
    <t>Diseño interfaz de ventana emergente para eliminar los datos</t>
  </si>
  <si>
    <t xml:space="preserve"> </t>
  </si>
  <si>
    <t xml:space="preserve">Verificar eliminacion en la base de datos </t>
  </si>
  <si>
    <t>REQ006</t>
  </si>
  <si>
    <t>Crear una Orden de trabajo</t>
  </si>
  <si>
    <t>Diseñar de la interfaz Orden de Trabajo</t>
  </si>
  <si>
    <t>Diseño del formulario de registro orden de trabajo</t>
  </si>
  <si>
    <t>Diseño del detallado de la materia prima de la orden de trabajo</t>
  </si>
  <si>
    <t>Registrar información de la orden de trabajo</t>
  </si>
  <si>
    <t>REQ006-5</t>
  </si>
  <si>
    <t>REQ007</t>
  </si>
  <si>
    <t>Buscar una orden de trabajo</t>
  </si>
  <si>
    <t xml:space="preserve">Diseño de la interfaz de busqueda </t>
  </si>
  <si>
    <t>Verificar informacion en la base de datos</t>
  </si>
  <si>
    <t>REQ008</t>
  </si>
  <si>
    <t>Eliminar una orden de trabajo</t>
  </si>
  <si>
    <t>SPRINT 2</t>
  </si>
  <si>
    <t>SPRINT 3</t>
  </si>
  <si>
    <t>SPRINT 1</t>
  </si>
  <si>
    <t>SPRING 4</t>
  </si>
  <si>
    <t>REQ-011</t>
  </si>
  <si>
    <t>Crear un Cliente</t>
  </si>
  <si>
    <t>Eliminar un Cliente</t>
  </si>
  <si>
    <t>Crear un Cliente y este quede registrado en el sistema</t>
  </si>
  <si>
    <t>Actualizar datos de un Cliente</t>
  </si>
  <si>
    <t>Actualizar la informacion de un Cliente en especifico</t>
  </si>
  <si>
    <t>Eliminar del un cliente del sistema</t>
  </si>
  <si>
    <t>REQ-013</t>
  </si>
  <si>
    <t>REQ-012</t>
  </si>
  <si>
    <t>SPRINT 4</t>
  </si>
  <si>
    <t>Diseñar de la interfaz para registrar un cliente</t>
  </si>
  <si>
    <t>Registrar información de un cliente</t>
  </si>
  <si>
    <t xml:space="preserve">Diseño de la interfaz de actualizar datos de un cliente </t>
  </si>
  <si>
    <t>Diseño interfaz de ventana emergente para eliminar los datos de un cliente</t>
  </si>
  <si>
    <t>REQ009-3</t>
  </si>
  <si>
    <t>REQ009-4</t>
  </si>
  <si>
    <t>REQ011-1</t>
  </si>
  <si>
    <t>REQ011-2</t>
  </si>
  <si>
    <t>REQ012-1</t>
  </si>
  <si>
    <t>REQ009</t>
  </si>
  <si>
    <t>REQ010</t>
  </si>
  <si>
    <t>REQ011</t>
  </si>
  <si>
    <t>REQ012</t>
  </si>
  <si>
    <t>REQ013</t>
  </si>
  <si>
    <t>Diseñar de la interfaz para la generación de reportes por fechas</t>
  </si>
  <si>
    <t>REQ012-2</t>
  </si>
  <si>
    <t>Verificar en la generación correcta del reporte</t>
  </si>
  <si>
    <t>REQ013-1</t>
  </si>
  <si>
    <t>REQ013-2</t>
  </si>
  <si>
    <t>Diseñar de la interfaz para la generación de reportes por Materia Prima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</si>
</sst>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8"/>
      <name val="Arial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4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1"/>
      <color rgb="FF242424"/>
      <name val="Aptos Narrow"/>
      <charset val="1"/>
    </font>
    <font>
      <b/>
      <sz val="10"/>
      <color rgb="FF000000"/>
      <name val="Arial"/>
    </font>
    <font>
      <b/>
      <sz val="10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rgb="FF6AA84F"/>
      </patternFill>
    </fill>
    <fill>
      <patternFill patternType="solid">
        <fgColor rgb="FF8EA9DB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2" fillId="4" borderId="1" xfId="0" applyFont="1" applyFill="1" applyBorder="1"/>
    <xf numFmtId="0" fontId="3" fillId="4" borderId="0" xfId="0" applyFont="1" applyFill="1"/>
    <xf numFmtId="0" fontId="5" fillId="4" borderId="1" xfId="0" applyFont="1" applyFill="1" applyBorder="1"/>
    <xf numFmtId="0" fontId="0" fillId="0" borderId="1" xfId="0" applyBorder="1"/>
    <xf numFmtId="0" fontId="2" fillId="0" borderId="2" xfId="0" applyFont="1" applyBorder="1"/>
    <xf numFmtId="0" fontId="0" fillId="0" borderId="0" xfId="0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8" fillId="0" borderId="6" xfId="0" applyFont="1" applyBorder="1"/>
    <xf numFmtId="0" fontId="2" fillId="2" borderId="7" xfId="0" applyFont="1" applyFill="1" applyBorder="1" applyAlignment="1">
      <alignment horizontal="center" vertical="center"/>
    </xf>
    <xf numFmtId="0" fontId="2" fillId="3" borderId="6" xfId="0" applyFont="1" applyFill="1" applyBorder="1"/>
    <xf numFmtId="0" fontId="0" fillId="0" borderId="7" xfId="0" applyBorder="1"/>
    <xf numFmtId="0" fontId="2" fillId="3" borderId="8" xfId="0" applyFont="1" applyFill="1" applyBorder="1"/>
    <xf numFmtId="0" fontId="2" fillId="0" borderId="9" xfId="0" applyFont="1" applyBorder="1"/>
    <xf numFmtId="0" fontId="0" fillId="0" borderId="10" xfId="0" applyBorder="1"/>
    <xf numFmtId="0" fontId="11" fillId="0" borderId="0" xfId="0" applyFont="1"/>
    <xf numFmtId="0" fontId="1" fillId="6" borderId="11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 vertical="center"/>
    </xf>
    <xf numFmtId="0" fontId="3" fillId="0" borderId="11" xfId="0" applyFont="1" applyBorder="1"/>
    <xf numFmtId="0" fontId="0" fillId="0" borderId="11" xfId="0" applyBorder="1"/>
    <xf numFmtId="0" fontId="3" fillId="0" borderId="11" xfId="0" applyFont="1" applyBorder="1" applyAlignment="1">
      <alignment horizontal="center" vertical="center"/>
    </xf>
    <xf numFmtId="0" fontId="9" fillId="0" borderId="11" xfId="0" applyFont="1" applyBorder="1"/>
    <xf numFmtId="0" fontId="7" fillId="0" borderId="11" xfId="0" applyFont="1" applyBorder="1"/>
    <xf numFmtId="0" fontId="9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8" borderId="1" xfId="0" applyFont="1" applyFill="1" applyBorder="1"/>
    <xf numFmtId="0" fontId="3" fillId="8" borderId="0" xfId="0" applyFont="1" applyFill="1"/>
    <xf numFmtId="0" fontId="7" fillId="8" borderId="1" xfId="0" applyFont="1" applyFill="1" applyBorder="1"/>
    <xf numFmtId="0" fontId="3" fillId="0" borderId="1" xfId="0" applyFont="1" applyBorder="1"/>
    <xf numFmtId="0" fontId="12" fillId="0" borderId="1" xfId="0" applyFont="1" applyBorder="1"/>
    <xf numFmtId="0" fontId="11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6" fillId="0" borderId="2" xfId="0" applyFont="1" applyBorder="1" applyAlignment="1">
      <alignment horizontal="center" vertical="center"/>
    </xf>
    <xf numFmtId="0" fontId="3" fillId="8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0" fillId="9" borderId="0" xfId="0" applyFill="1"/>
    <xf numFmtId="0" fontId="13" fillId="9" borderId="0" xfId="0" applyFont="1" applyFill="1"/>
    <xf numFmtId="0" fontId="2" fillId="10" borderId="2" xfId="0" applyFont="1" applyFill="1" applyBorder="1" applyAlignment="1">
      <alignment horizontal="center" vertical="center"/>
    </xf>
    <xf numFmtId="0" fontId="0" fillId="10" borderId="2" xfId="0" applyFill="1" applyBorder="1"/>
    <xf numFmtId="0" fontId="0" fillId="10" borderId="2" xfId="0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6" borderId="16" xfId="0" applyFont="1" applyFill="1" applyBorder="1" applyAlignment="1">
      <alignment horizontal="center"/>
    </xf>
    <xf numFmtId="0" fontId="10" fillId="11" borderId="16" xfId="0" applyFont="1" applyFill="1" applyBorder="1" applyAlignment="1">
      <alignment horizontal="center"/>
    </xf>
    <xf numFmtId="0" fontId="10" fillId="10" borderId="16" xfId="0" applyFont="1" applyFill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8" fillId="0" borderId="18" xfId="0" applyFont="1" applyBorder="1"/>
    <xf numFmtId="0" fontId="2" fillId="2" borderId="20" xfId="0" applyFont="1" applyFill="1" applyBorder="1" applyAlignment="1">
      <alignment horizontal="center" vertical="center"/>
    </xf>
    <xf numFmtId="0" fontId="8" fillId="0" borderId="3" xfId="0" applyFont="1" applyBorder="1"/>
    <xf numFmtId="0" fontId="2" fillId="5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8" fillId="0" borderId="8" xfId="0" applyFont="1" applyBorder="1"/>
    <xf numFmtId="0" fontId="6" fillId="5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0" fillId="10" borderId="4" xfId="0" applyFill="1" applyBorder="1"/>
    <xf numFmtId="0" fontId="0" fillId="5" borderId="9" xfId="0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2" fillId="10" borderId="2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54470691163605"/>
          <c:y val="5.7502246181491468E-2"/>
          <c:w val="0.86945528725040999"/>
          <c:h val="0.78993880481920897"/>
        </c:manualLayout>
      </c:layout>
      <c:lineChart>
        <c:grouping val="standard"/>
        <c:varyColors val="1"/>
        <c:ser>
          <c:idx val="0"/>
          <c:order val="0"/>
          <c:tx>
            <c:v>Tiempo Real 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burdonchart!$C$39:$V$39</c:f>
              <c:numCache>
                <c:formatCode>General</c:formatCode>
                <c:ptCount val="20"/>
                <c:pt idx="0">
                  <c:v>55</c:v>
                </c:pt>
                <c:pt idx="1">
                  <c:v>55</c:v>
                </c:pt>
                <c:pt idx="2">
                  <c:v>53</c:v>
                </c:pt>
                <c:pt idx="3">
                  <c:v>51</c:v>
                </c:pt>
                <c:pt idx="4">
                  <c:v>49</c:v>
                </c:pt>
                <c:pt idx="5">
                  <c:v>48</c:v>
                </c:pt>
                <c:pt idx="6">
                  <c:v>45</c:v>
                </c:pt>
                <c:pt idx="7">
                  <c:v>43</c:v>
                </c:pt>
                <c:pt idx="8">
                  <c:v>40</c:v>
                </c:pt>
                <c:pt idx="9">
                  <c:v>37</c:v>
                </c:pt>
                <c:pt idx="10">
                  <c:v>36</c:v>
                </c:pt>
                <c:pt idx="11">
                  <c:v>32</c:v>
                </c:pt>
                <c:pt idx="12">
                  <c:v>26</c:v>
                </c:pt>
                <c:pt idx="13">
                  <c:v>24</c:v>
                </c:pt>
                <c:pt idx="14">
                  <c:v>23</c:v>
                </c:pt>
                <c:pt idx="15">
                  <c:v>22</c:v>
                </c:pt>
                <c:pt idx="16">
                  <c:v>16</c:v>
                </c:pt>
                <c:pt idx="17">
                  <c:v>9</c:v>
                </c:pt>
                <c:pt idx="18">
                  <c:v>4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20-4713-AF48-1EB56E18A949}"/>
            </c:ext>
          </c:extLst>
        </c:ser>
        <c:ser>
          <c:idx val="1"/>
          <c:order val="1"/>
          <c:tx>
            <c:v>Tiempo Estimado 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burdonchart!$C$40:$V$40</c:f>
              <c:numCache>
                <c:formatCode>General</c:formatCode>
                <c:ptCount val="20"/>
                <c:pt idx="0">
                  <c:v>55</c:v>
                </c:pt>
                <c:pt idx="1">
                  <c:v>52.25</c:v>
                </c:pt>
                <c:pt idx="2">
                  <c:v>49.5</c:v>
                </c:pt>
                <c:pt idx="3">
                  <c:v>46.75</c:v>
                </c:pt>
                <c:pt idx="4">
                  <c:v>44</c:v>
                </c:pt>
                <c:pt idx="5">
                  <c:v>41.25</c:v>
                </c:pt>
                <c:pt idx="6">
                  <c:v>38.5</c:v>
                </c:pt>
                <c:pt idx="7">
                  <c:v>35.75</c:v>
                </c:pt>
                <c:pt idx="8">
                  <c:v>33</c:v>
                </c:pt>
                <c:pt idx="9">
                  <c:v>30.25</c:v>
                </c:pt>
                <c:pt idx="10">
                  <c:v>27.5</c:v>
                </c:pt>
                <c:pt idx="11">
                  <c:v>24.75</c:v>
                </c:pt>
                <c:pt idx="12">
                  <c:v>22</c:v>
                </c:pt>
                <c:pt idx="13">
                  <c:v>19.25</c:v>
                </c:pt>
                <c:pt idx="14">
                  <c:v>16.5</c:v>
                </c:pt>
                <c:pt idx="15">
                  <c:v>13.75</c:v>
                </c:pt>
                <c:pt idx="16">
                  <c:v>11</c:v>
                </c:pt>
                <c:pt idx="17">
                  <c:v>8.25</c:v>
                </c:pt>
                <c:pt idx="18">
                  <c:v>5.5</c:v>
                </c:pt>
                <c:pt idx="19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20-4713-AF48-1EB56E18A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555524"/>
        <c:axId val="2087969067"/>
      </c:lineChart>
      <c:catAx>
        <c:axId val="416555524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EC"/>
          </a:p>
        </c:txPr>
        <c:crossAx val="2087969067"/>
        <c:crosses val="autoZero"/>
        <c:auto val="1"/>
        <c:lblAlgn val="ctr"/>
        <c:lblOffset val="100"/>
        <c:noMultiLvlLbl val="1"/>
      </c:catAx>
      <c:valAx>
        <c:axId val="20879690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s-EC"/>
          </a:p>
        </c:txPr>
        <c:crossAx val="4165555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vert="horz"/>
          <a:lstStyle/>
          <a:p>
            <a:pPr>
              <a:defRPr>
                <a:ln>
                  <a:noFill/>
                </a:ln>
              </a:defRPr>
            </a:pPr>
            <a:endParaRPr lang="es-EC"/>
          </a:p>
        </c:txPr>
      </c:legendEntry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1402976</xdr:colOff>
      <xdr:row>45</xdr:row>
      <xdr:rowOff>0</xdr:rowOff>
    </xdr:from>
    <xdr:ext cx="10601134" cy="3562089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2</xdr:col>
      <xdr:colOff>772438</xdr:colOff>
      <xdr:row>64</xdr:row>
      <xdr:rowOff>208767</xdr:rowOff>
    </xdr:from>
    <xdr:to>
      <xdr:col>22</xdr:col>
      <xdr:colOff>532357</xdr:colOff>
      <xdr:row>64</xdr:row>
      <xdr:rowOff>2567835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D3D24063-43FE-D6A9-87EC-F1CE2EF1C4FE}"/>
            </a:ext>
          </a:extLst>
        </xdr:cNvPr>
        <xdr:cNvSpPr/>
      </xdr:nvSpPr>
      <xdr:spPr>
        <a:xfrm>
          <a:off x="3308959" y="12901808"/>
          <a:ext cx="8684713" cy="235906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Conclusion:</a:t>
          </a:r>
          <a:br>
            <a:rPr lang="es-ES" sz="1100"/>
          </a:br>
          <a:r>
            <a:rPr lang="es-ES"/>
            <a:t>La comparación entre el tiempo real y el tiempo estimado revela una ligera desviación durante las primeras etapas del proyecto, donde el tiempo real fue mayor al previsto, lo que podría indicar una planificación inicial optimista o imprevistos en la ejecución. Sin embargo, a medida que avanza el proyecto, se observa una tendencia de convergencia entre ambos tiempos, demostrando una mejora en la eficiencia y en el control del desarrollo. Esta evolución sugiere que el equipo logró adaptarse a las exigencias del proyecto, alineando progresivamente la ejecución con la planificación establecida.</a:t>
          </a:r>
          <a:br>
            <a:rPr lang="es-ES"/>
          </a:br>
          <a:br>
            <a:rPr lang="es-ES"/>
          </a:br>
          <a:r>
            <a:rPr lang="es-ES"/>
            <a:t>Recomendacion:</a:t>
          </a:r>
        </a:p>
        <a:p>
          <a:pPr algn="l"/>
          <a:r>
            <a:rPr lang="es-ES"/>
            <a:t>Se recomienda reforzar la fase de planificación y análisis inicial, incorporando márgenes de contingencia más realistas y una estimación más detallada por tareas. </a:t>
          </a:r>
          <a:endParaRPr lang="es-E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W4:W38" headerRowCount="0" headerRowDxfId="3" dataDxfId="2" totalsRowDxfId="1">
  <tableColumns count="1">
    <tableColumn id="1" xr3:uid="{00000000-0010-0000-0000-000001000000}" name="Column1" dataDxfId="0">
      <calculatedColumnFormula>SUM(R4:V4)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5"/>
  <sheetViews>
    <sheetView zoomScale="85" zoomScaleNormal="85" workbookViewId="0">
      <selection activeCell="C19" sqref="C19"/>
    </sheetView>
  </sheetViews>
  <sheetFormatPr baseColWidth="10" defaultColWidth="12.5546875" defaultRowHeight="15" customHeight="1" x14ac:dyDescent="0.25"/>
  <cols>
    <col min="2" max="2" width="12.44140625" customWidth="1"/>
    <col min="3" max="3" width="33.33203125" customWidth="1"/>
    <col min="4" max="4" width="36" customWidth="1"/>
    <col min="5" max="5" width="38.5546875" customWidth="1"/>
    <col min="6" max="6" width="60" bestFit="1" customWidth="1"/>
    <col min="7" max="7" width="12.44140625" customWidth="1"/>
    <col min="8" max="8" width="12.44140625" style="11" customWidth="1"/>
    <col min="9" max="27" width="12.44140625" customWidth="1"/>
  </cols>
  <sheetData>
    <row r="1" spans="1:10" ht="15" customHeight="1" x14ac:dyDescent="0.25">
      <c r="B1" s="9"/>
      <c r="C1" s="9"/>
      <c r="D1" s="9"/>
      <c r="E1" s="9"/>
      <c r="F1" s="9"/>
      <c r="G1" s="9"/>
      <c r="H1" s="35"/>
      <c r="I1" s="9"/>
    </row>
    <row r="2" spans="1:10" ht="15.75" customHeight="1" x14ac:dyDescent="0.25">
      <c r="A2" s="9"/>
      <c r="B2" s="26" t="s">
        <v>0</v>
      </c>
      <c r="C2" s="26" t="s">
        <v>1</v>
      </c>
      <c r="D2" s="26" t="s">
        <v>2</v>
      </c>
      <c r="E2" s="26" t="s">
        <v>3</v>
      </c>
      <c r="F2" s="26" t="s">
        <v>4</v>
      </c>
      <c r="G2" s="26" t="s">
        <v>5</v>
      </c>
      <c r="H2" s="27" t="s">
        <v>6</v>
      </c>
      <c r="I2" s="26" t="s">
        <v>7</v>
      </c>
      <c r="J2" s="9"/>
    </row>
    <row r="3" spans="1:10" ht="15.75" customHeight="1" x14ac:dyDescent="0.25">
      <c r="A3" s="9"/>
      <c r="B3" s="98" t="s">
        <v>8</v>
      </c>
      <c r="C3" s="98"/>
      <c r="D3" s="98"/>
      <c r="E3" s="98"/>
      <c r="F3" s="98"/>
      <c r="G3" s="98"/>
      <c r="H3" s="98"/>
      <c r="I3" s="98"/>
      <c r="J3" s="9"/>
    </row>
    <row r="4" spans="1:10" ht="15.75" customHeight="1" x14ac:dyDescent="0.25">
      <c r="A4" s="9"/>
      <c r="B4" s="28" t="s">
        <v>9</v>
      </c>
      <c r="C4" s="28" t="s">
        <v>10</v>
      </c>
      <c r="D4" s="28" t="s">
        <v>11</v>
      </c>
      <c r="E4" s="28" t="s">
        <v>12</v>
      </c>
      <c r="F4" s="28" t="s">
        <v>13</v>
      </c>
      <c r="G4" s="29"/>
      <c r="H4" s="30" t="s">
        <v>14</v>
      </c>
      <c r="I4" s="28" t="s">
        <v>96</v>
      </c>
      <c r="J4" s="9"/>
    </row>
    <row r="5" spans="1:10" ht="15.75" customHeight="1" x14ac:dyDescent="0.25">
      <c r="A5" s="9"/>
      <c r="B5" s="28" t="s">
        <v>16</v>
      </c>
      <c r="C5" s="31" t="s">
        <v>17</v>
      </c>
      <c r="D5" s="32" t="s">
        <v>11</v>
      </c>
      <c r="E5" s="31" t="s">
        <v>18</v>
      </c>
      <c r="F5" s="31" t="s">
        <v>19</v>
      </c>
      <c r="G5" s="29"/>
      <c r="H5" s="33" t="s">
        <v>14</v>
      </c>
      <c r="I5" s="28" t="s">
        <v>96</v>
      </c>
      <c r="J5" s="9"/>
    </row>
    <row r="6" spans="1:10" ht="15.75" customHeight="1" x14ac:dyDescent="0.25">
      <c r="A6" s="9"/>
      <c r="B6" s="28" t="s">
        <v>20</v>
      </c>
      <c r="C6" s="31" t="s">
        <v>21</v>
      </c>
      <c r="D6" s="32" t="s">
        <v>11</v>
      </c>
      <c r="E6" s="31" t="s">
        <v>18</v>
      </c>
      <c r="F6" s="31" t="s">
        <v>22</v>
      </c>
      <c r="G6" s="29"/>
      <c r="H6" s="33" t="s">
        <v>14</v>
      </c>
      <c r="I6" s="28" t="s">
        <v>96</v>
      </c>
      <c r="J6" s="9"/>
    </row>
    <row r="7" spans="1:10" ht="15.75" customHeight="1" x14ac:dyDescent="0.25">
      <c r="A7" s="9"/>
      <c r="B7" s="28" t="s">
        <v>23</v>
      </c>
      <c r="C7" s="31" t="s">
        <v>24</v>
      </c>
      <c r="D7" s="32" t="s">
        <v>11</v>
      </c>
      <c r="E7" s="31" t="s">
        <v>18</v>
      </c>
      <c r="F7" s="31" t="s">
        <v>25</v>
      </c>
      <c r="G7" s="29"/>
      <c r="H7" s="33" t="s">
        <v>14</v>
      </c>
      <c r="I7" s="28" t="s">
        <v>96</v>
      </c>
      <c r="J7" s="9"/>
    </row>
    <row r="8" spans="1:10" ht="15.75" customHeight="1" x14ac:dyDescent="0.25">
      <c r="A8" s="9"/>
      <c r="B8" s="29" t="s">
        <v>26</v>
      </c>
      <c r="C8" s="29" t="s">
        <v>27</v>
      </c>
      <c r="D8" s="32" t="s">
        <v>11</v>
      </c>
      <c r="E8" s="31" t="s">
        <v>18</v>
      </c>
      <c r="F8" s="29" t="s">
        <v>28</v>
      </c>
      <c r="G8" s="29"/>
      <c r="H8" s="34" t="s">
        <v>29</v>
      </c>
      <c r="I8" s="28" t="s">
        <v>96</v>
      </c>
      <c r="J8" s="9"/>
    </row>
    <row r="9" spans="1:10" ht="15.75" customHeight="1" x14ac:dyDescent="0.25">
      <c r="A9" s="9"/>
      <c r="B9" s="99" t="s">
        <v>30</v>
      </c>
      <c r="C9" s="100"/>
      <c r="D9" s="100"/>
      <c r="E9" s="100"/>
      <c r="F9" s="100"/>
      <c r="G9" s="100"/>
      <c r="H9" s="100"/>
      <c r="I9" s="101"/>
      <c r="J9" s="9"/>
    </row>
    <row r="10" spans="1:10" ht="15.75" customHeight="1" x14ac:dyDescent="0.25">
      <c r="A10" s="9"/>
      <c r="B10" s="29" t="s">
        <v>31</v>
      </c>
      <c r="C10" s="29" t="s">
        <v>32</v>
      </c>
      <c r="D10" s="32" t="s">
        <v>11</v>
      </c>
      <c r="E10" s="31" t="s">
        <v>18</v>
      </c>
      <c r="F10" s="29" t="s">
        <v>33</v>
      </c>
      <c r="G10" s="29"/>
      <c r="H10" s="33" t="s">
        <v>14</v>
      </c>
      <c r="I10" s="29" t="s">
        <v>96</v>
      </c>
      <c r="J10" s="9"/>
    </row>
    <row r="11" spans="1:10" ht="15.75" customHeight="1" x14ac:dyDescent="0.25">
      <c r="A11" s="9"/>
      <c r="B11" s="29" t="s">
        <v>34</v>
      </c>
      <c r="C11" s="29" t="s">
        <v>35</v>
      </c>
      <c r="D11" s="32" t="s">
        <v>11</v>
      </c>
      <c r="E11" s="31" t="s">
        <v>18</v>
      </c>
      <c r="F11" s="29" t="s">
        <v>36</v>
      </c>
      <c r="G11" s="29"/>
      <c r="H11" s="33" t="s">
        <v>14</v>
      </c>
      <c r="I11" s="29" t="s">
        <v>96</v>
      </c>
      <c r="J11" s="9"/>
    </row>
    <row r="12" spans="1:10" ht="15.75" customHeight="1" x14ac:dyDescent="0.25">
      <c r="A12" s="9"/>
      <c r="B12" s="29" t="s">
        <v>37</v>
      </c>
      <c r="C12" s="29" t="s">
        <v>38</v>
      </c>
      <c r="D12" s="32" t="s">
        <v>11</v>
      </c>
      <c r="E12" s="31" t="s">
        <v>18</v>
      </c>
      <c r="F12" s="29" t="s">
        <v>39</v>
      </c>
      <c r="G12" s="29"/>
      <c r="H12" s="34" t="s">
        <v>29</v>
      </c>
      <c r="I12" s="29" t="s">
        <v>96</v>
      </c>
      <c r="J12" s="9"/>
    </row>
    <row r="13" spans="1:10" ht="15.75" customHeight="1" x14ac:dyDescent="0.25">
      <c r="A13" s="9"/>
      <c r="B13" s="99" t="s">
        <v>40</v>
      </c>
      <c r="C13" s="100"/>
      <c r="D13" s="100"/>
      <c r="E13" s="100"/>
      <c r="F13" s="100"/>
      <c r="G13" s="100"/>
      <c r="H13" s="100"/>
      <c r="I13" s="101"/>
      <c r="J13" s="9"/>
    </row>
    <row r="14" spans="1:10" ht="15.75" customHeight="1" x14ac:dyDescent="0.25">
      <c r="A14" s="9"/>
      <c r="B14" s="29" t="s">
        <v>41</v>
      </c>
      <c r="C14" s="29" t="s">
        <v>161</v>
      </c>
      <c r="D14" s="32" t="s">
        <v>11</v>
      </c>
      <c r="E14" s="31" t="s">
        <v>18</v>
      </c>
      <c r="F14" s="29" t="s">
        <v>163</v>
      </c>
      <c r="G14" s="29"/>
      <c r="H14" s="33" t="s">
        <v>14</v>
      </c>
      <c r="I14" s="29" t="s">
        <v>96</v>
      </c>
      <c r="J14" s="9"/>
    </row>
    <row r="15" spans="1:10" ht="15.75" customHeight="1" x14ac:dyDescent="0.25">
      <c r="A15" s="9"/>
      <c r="B15" s="29" t="s">
        <v>44</v>
      </c>
      <c r="C15" s="29" t="s">
        <v>164</v>
      </c>
      <c r="D15" s="32" t="s">
        <v>11</v>
      </c>
      <c r="E15" s="31" t="s">
        <v>18</v>
      </c>
      <c r="F15" s="29" t="s">
        <v>165</v>
      </c>
      <c r="G15" s="29"/>
      <c r="H15" s="33" t="s">
        <v>14</v>
      </c>
      <c r="I15" s="29" t="s">
        <v>96</v>
      </c>
      <c r="J15" s="9"/>
    </row>
    <row r="16" spans="1:10" ht="15.75" customHeight="1" x14ac:dyDescent="0.25">
      <c r="A16" s="9"/>
      <c r="B16" s="29" t="s">
        <v>160</v>
      </c>
      <c r="C16" s="29" t="s">
        <v>162</v>
      </c>
      <c r="D16" s="32" t="s">
        <v>11</v>
      </c>
      <c r="E16" s="31" t="s">
        <v>18</v>
      </c>
      <c r="F16" s="29" t="s">
        <v>166</v>
      </c>
      <c r="G16" s="29"/>
      <c r="H16" s="34" t="s">
        <v>29</v>
      </c>
      <c r="I16" s="29" t="s">
        <v>96</v>
      </c>
      <c r="J16" s="9"/>
    </row>
    <row r="17" spans="2:9" ht="15.75" customHeight="1" x14ac:dyDescent="0.25">
      <c r="B17" s="99" t="s">
        <v>159</v>
      </c>
      <c r="C17" s="100"/>
      <c r="D17" s="100"/>
      <c r="E17" s="100"/>
      <c r="F17" s="100"/>
      <c r="G17" s="100"/>
      <c r="H17" s="100"/>
      <c r="I17" s="101"/>
    </row>
    <row r="18" spans="2:9" ht="15.75" customHeight="1" x14ac:dyDescent="0.25">
      <c r="B18" s="29" t="s">
        <v>168</v>
      </c>
      <c r="C18" s="29" t="s">
        <v>42</v>
      </c>
      <c r="D18" s="32" t="s">
        <v>11</v>
      </c>
      <c r="E18" s="31" t="s">
        <v>18</v>
      </c>
      <c r="F18" s="29" t="s">
        <v>43</v>
      </c>
      <c r="G18" s="29"/>
      <c r="H18" s="34" t="s">
        <v>29</v>
      </c>
      <c r="I18" s="29" t="s">
        <v>15</v>
      </c>
    </row>
    <row r="19" spans="2:9" ht="15.75" customHeight="1" x14ac:dyDescent="0.25">
      <c r="B19" s="29" t="s">
        <v>167</v>
      </c>
      <c r="C19" s="29" t="s">
        <v>45</v>
      </c>
      <c r="D19" s="32" t="s">
        <v>11</v>
      </c>
      <c r="E19" s="31" t="s">
        <v>18</v>
      </c>
      <c r="F19" s="29" t="s">
        <v>46</v>
      </c>
      <c r="G19" s="29"/>
      <c r="H19" s="34" t="s">
        <v>29</v>
      </c>
      <c r="I19" s="29" t="s">
        <v>15</v>
      </c>
    </row>
    <row r="20" spans="2:9" ht="15.75" customHeight="1" x14ac:dyDescent="0.25"/>
    <row r="21" spans="2:9" ht="15.75" customHeight="1" x14ac:dyDescent="0.25"/>
    <row r="22" spans="2:9" ht="15.75" customHeight="1" x14ac:dyDescent="0.25"/>
    <row r="23" spans="2:9" ht="15.75" customHeight="1" x14ac:dyDescent="0.25"/>
    <row r="24" spans="2:9" ht="15.75" customHeight="1" x14ac:dyDescent="0.25"/>
    <row r="25" spans="2:9" ht="15.75" customHeight="1" x14ac:dyDescent="0.25"/>
    <row r="26" spans="2:9" ht="15.75" customHeight="1" x14ac:dyDescent="0.25"/>
    <row r="27" spans="2:9" ht="15.75" customHeight="1" x14ac:dyDescent="0.25"/>
    <row r="28" spans="2:9" ht="15.75" customHeight="1" x14ac:dyDescent="0.25"/>
    <row r="29" spans="2:9" ht="15.75" customHeight="1" x14ac:dyDescent="0.25"/>
    <row r="30" spans="2:9" ht="15.75" customHeight="1" x14ac:dyDescent="0.25"/>
    <row r="31" spans="2:9" ht="15.75" customHeight="1" x14ac:dyDescent="0.25"/>
    <row r="32" spans="2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4">
    <mergeCell ref="B3:I3"/>
    <mergeCell ref="B9:I9"/>
    <mergeCell ref="B17:I17"/>
    <mergeCell ref="B13:I13"/>
  </mergeCells>
  <phoneticPr fontId="4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816"/>
  <sheetViews>
    <sheetView topLeftCell="B58" zoomScale="92" workbookViewId="0">
      <selection activeCell="C29" sqref="C29"/>
    </sheetView>
  </sheetViews>
  <sheetFormatPr baseColWidth="10" defaultColWidth="12.5546875" defaultRowHeight="15" customHeight="1" x14ac:dyDescent="0.25"/>
  <cols>
    <col min="1" max="2" width="12.44140625" customWidth="1"/>
    <col min="3" max="3" width="47" customWidth="1"/>
    <col min="4" max="4" width="20.109375" customWidth="1"/>
    <col min="5" max="5" width="27.6640625" customWidth="1"/>
    <col min="6" max="6" width="56.109375" customWidth="1"/>
    <col min="7" max="7" width="16.88671875" customWidth="1"/>
    <col min="8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0</v>
      </c>
      <c r="C3" s="1" t="s">
        <v>1</v>
      </c>
      <c r="D3" s="1" t="s">
        <v>2</v>
      </c>
      <c r="E3" s="1" t="s">
        <v>47</v>
      </c>
      <c r="F3" s="1" t="s">
        <v>48</v>
      </c>
      <c r="G3" s="1" t="s">
        <v>5</v>
      </c>
      <c r="H3" s="1" t="s">
        <v>49</v>
      </c>
      <c r="I3" s="1" t="s">
        <v>50</v>
      </c>
    </row>
    <row r="4" spans="2:9" ht="15.75" customHeight="1" x14ac:dyDescent="0.25">
      <c r="B4" s="48"/>
      <c r="C4" s="48"/>
      <c r="D4" s="48"/>
      <c r="E4" s="49" t="s">
        <v>158</v>
      </c>
      <c r="F4" s="48"/>
      <c r="G4" s="48"/>
      <c r="H4" s="48"/>
      <c r="I4" s="48"/>
    </row>
    <row r="5" spans="2:9" ht="15.75" customHeight="1" x14ac:dyDescent="0.25">
      <c r="B5" s="6" t="s">
        <v>112</v>
      </c>
      <c r="C5" s="7" t="s">
        <v>113</v>
      </c>
      <c r="D5" s="7" t="s">
        <v>11</v>
      </c>
      <c r="E5" s="7" t="s">
        <v>51</v>
      </c>
      <c r="F5" s="7" t="s">
        <v>52</v>
      </c>
      <c r="G5" s="6"/>
      <c r="H5" s="6" t="s">
        <v>14</v>
      </c>
      <c r="I5" s="8" t="s">
        <v>53</v>
      </c>
    </row>
    <row r="6" spans="2:9" ht="15.75" customHeight="1" x14ac:dyDescent="0.25">
      <c r="B6" s="2"/>
      <c r="C6" s="3" t="s">
        <v>54</v>
      </c>
      <c r="D6" s="2"/>
      <c r="E6" s="2"/>
      <c r="F6" s="2"/>
      <c r="G6" s="3" t="s">
        <v>55</v>
      </c>
      <c r="H6" s="2"/>
      <c r="I6" s="3" t="s">
        <v>56</v>
      </c>
    </row>
    <row r="7" spans="2:9" ht="13.2" x14ac:dyDescent="0.25">
      <c r="B7" s="5" t="s">
        <v>57</v>
      </c>
      <c r="C7" s="42" t="s">
        <v>114</v>
      </c>
      <c r="D7" s="42"/>
      <c r="E7" s="42"/>
      <c r="F7" s="42"/>
      <c r="G7" s="2" t="s">
        <v>58</v>
      </c>
      <c r="H7" s="2"/>
      <c r="I7" s="4">
        <v>2</v>
      </c>
    </row>
    <row r="8" spans="2:9" ht="15.75" customHeight="1" x14ac:dyDescent="0.25">
      <c r="B8" s="5" t="s">
        <v>59</v>
      </c>
      <c r="C8" s="42" t="s">
        <v>115</v>
      </c>
      <c r="D8" s="42"/>
      <c r="E8" s="42"/>
      <c r="F8" s="42"/>
      <c r="G8" s="2" t="s">
        <v>60</v>
      </c>
      <c r="H8" s="2"/>
      <c r="I8" s="4">
        <v>1</v>
      </c>
    </row>
    <row r="9" spans="2:9" ht="15.75" customHeight="1" x14ac:dyDescent="0.25">
      <c r="B9" s="5" t="s">
        <v>61</v>
      </c>
      <c r="C9" s="42" t="s">
        <v>116</v>
      </c>
      <c r="D9" s="42"/>
      <c r="E9" s="42"/>
      <c r="F9" s="42"/>
      <c r="G9" s="2" t="s">
        <v>60</v>
      </c>
      <c r="H9" s="2"/>
      <c r="I9" s="2">
        <v>1</v>
      </c>
    </row>
    <row r="10" spans="2:9" ht="15.75" customHeight="1" x14ac:dyDescent="0.25">
      <c r="B10" s="5" t="s">
        <v>62</v>
      </c>
      <c r="C10" s="2" t="s">
        <v>117</v>
      </c>
      <c r="D10" s="2"/>
      <c r="E10" s="2"/>
      <c r="F10" s="2"/>
      <c r="G10" s="2" t="s">
        <v>63</v>
      </c>
      <c r="H10" s="2"/>
      <c r="I10" s="2">
        <v>1</v>
      </c>
    </row>
    <row r="11" spans="2:9" ht="15.75" customHeight="1" x14ac:dyDescent="0.25">
      <c r="B11" s="5"/>
      <c r="C11" s="2"/>
      <c r="D11" s="2"/>
      <c r="E11" s="2"/>
      <c r="F11" s="2"/>
      <c r="G11" s="2"/>
      <c r="H11" s="2"/>
      <c r="I11" s="2"/>
    </row>
    <row r="12" spans="2:9" ht="15.75" customHeight="1" x14ac:dyDescent="0.25">
      <c r="B12" s="36" t="s">
        <v>118</v>
      </c>
      <c r="C12" s="36" t="s">
        <v>119</v>
      </c>
      <c r="D12" s="36" t="s">
        <v>11</v>
      </c>
      <c r="E12" s="36" t="s">
        <v>64</v>
      </c>
      <c r="F12" s="36" t="s">
        <v>65</v>
      </c>
      <c r="G12" s="37"/>
      <c r="H12" s="36" t="s">
        <v>14</v>
      </c>
      <c r="I12" s="38" t="s">
        <v>53</v>
      </c>
    </row>
    <row r="13" spans="2:9" ht="15.75" customHeight="1" x14ac:dyDescent="0.25">
      <c r="B13" s="39"/>
      <c r="C13" s="40" t="s">
        <v>54</v>
      </c>
      <c r="D13" s="39"/>
      <c r="E13" s="39"/>
      <c r="F13" s="39"/>
      <c r="G13" s="40" t="s">
        <v>55</v>
      </c>
      <c r="H13" s="39"/>
      <c r="I13" s="40" t="s">
        <v>56</v>
      </c>
    </row>
    <row r="14" spans="2:9" ht="14.4" x14ac:dyDescent="0.3">
      <c r="B14" s="41" t="s">
        <v>66</v>
      </c>
      <c r="C14" s="39" t="s">
        <v>120</v>
      </c>
      <c r="D14" s="42"/>
      <c r="E14" s="42"/>
      <c r="F14" s="39"/>
      <c r="G14" s="39" t="s">
        <v>58</v>
      </c>
      <c r="H14" s="42"/>
      <c r="I14" s="39">
        <v>2</v>
      </c>
    </row>
    <row r="15" spans="2:9" ht="24.75" customHeight="1" x14ac:dyDescent="0.3">
      <c r="B15" s="41" t="s">
        <v>67</v>
      </c>
      <c r="C15" s="43" t="s">
        <v>121</v>
      </c>
      <c r="D15" s="39"/>
      <c r="E15" s="39"/>
      <c r="F15" s="39"/>
      <c r="G15" s="39" t="s">
        <v>63</v>
      </c>
      <c r="H15" s="42"/>
      <c r="I15" s="39">
        <v>1</v>
      </c>
    </row>
    <row r="16" spans="2:9" ht="14.4" x14ac:dyDescent="0.3">
      <c r="B16" s="41" t="s">
        <v>68</v>
      </c>
      <c r="C16" s="39" t="s">
        <v>122</v>
      </c>
      <c r="D16" s="42"/>
      <c r="E16" s="42"/>
      <c r="F16" s="39"/>
      <c r="G16" s="39" t="s">
        <v>60</v>
      </c>
      <c r="H16" s="42"/>
      <c r="I16" s="39">
        <v>2</v>
      </c>
    </row>
    <row r="17" spans="2:9" ht="15.75" customHeight="1" x14ac:dyDescent="0.3">
      <c r="B17" s="41"/>
      <c r="C17" s="39"/>
      <c r="D17" s="42"/>
      <c r="E17" s="42"/>
      <c r="F17" s="39"/>
      <c r="G17" s="39"/>
      <c r="H17" s="42"/>
      <c r="I17" s="39"/>
    </row>
    <row r="18" spans="2:9" ht="13.2" x14ac:dyDescent="0.25">
      <c r="B18" s="36" t="s">
        <v>123</v>
      </c>
      <c r="C18" s="36" t="s">
        <v>124</v>
      </c>
      <c r="D18" s="36" t="s">
        <v>11</v>
      </c>
      <c r="E18" s="36" t="s">
        <v>125</v>
      </c>
      <c r="F18" s="36" t="s">
        <v>126</v>
      </c>
      <c r="G18" s="37"/>
      <c r="H18" s="36" t="s">
        <v>14</v>
      </c>
      <c r="I18" s="38" t="s">
        <v>53</v>
      </c>
    </row>
    <row r="19" spans="2:9" ht="13.2" x14ac:dyDescent="0.25">
      <c r="B19" s="39"/>
      <c r="C19" s="40" t="s">
        <v>54</v>
      </c>
      <c r="D19" s="39"/>
      <c r="E19" s="39"/>
      <c r="F19" s="39"/>
      <c r="G19" s="40" t="s">
        <v>55</v>
      </c>
      <c r="H19" s="39"/>
      <c r="I19" s="40" t="s">
        <v>56</v>
      </c>
    </row>
    <row r="20" spans="2:9" ht="15.75" customHeight="1" x14ac:dyDescent="0.3">
      <c r="B20" s="41" t="s">
        <v>69</v>
      </c>
      <c r="C20" s="43" t="s">
        <v>127</v>
      </c>
      <c r="D20" s="39"/>
      <c r="E20" s="39"/>
      <c r="F20" s="39"/>
      <c r="G20" s="39" t="s">
        <v>58</v>
      </c>
      <c r="H20" s="42"/>
      <c r="I20" s="39">
        <v>3</v>
      </c>
    </row>
    <row r="21" spans="2:9" ht="25.5" customHeight="1" x14ac:dyDescent="0.3">
      <c r="B21" s="41" t="s">
        <v>70</v>
      </c>
      <c r="C21" s="43" t="s">
        <v>128</v>
      </c>
      <c r="D21" s="39"/>
      <c r="E21" s="39"/>
      <c r="F21" s="39"/>
      <c r="G21" s="39" t="s">
        <v>63</v>
      </c>
      <c r="H21" s="42"/>
      <c r="I21" s="39">
        <v>1</v>
      </c>
    </row>
    <row r="22" spans="2:9" ht="23.25" customHeight="1" x14ac:dyDescent="0.3">
      <c r="B22" s="41" t="s">
        <v>71</v>
      </c>
      <c r="C22" s="39" t="s">
        <v>129</v>
      </c>
      <c r="D22" s="42"/>
      <c r="E22" s="42"/>
      <c r="F22" s="39"/>
      <c r="G22" s="39" t="s">
        <v>60</v>
      </c>
      <c r="H22" s="42"/>
      <c r="I22" s="39">
        <v>1</v>
      </c>
    </row>
    <row r="23" spans="2:9" ht="34.5" customHeight="1" x14ac:dyDescent="0.3">
      <c r="B23" s="41"/>
      <c r="C23" s="39"/>
      <c r="D23" s="42"/>
      <c r="E23" s="42"/>
      <c r="F23" s="39"/>
      <c r="G23" s="39"/>
      <c r="H23" s="42"/>
      <c r="I23" s="39"/>
    </row>
    <row r="24" spans="2:9" ht="28.5" customHeight="1" x14ac:dyDescent="0.25">
      <c r="B24" s="36" t="s">
        <v>130</v>
      </c>
      <c r="C24" s="36" t="s">
        <v>131</v>
      </c>
      <c r="D24" s="36" t="s">
        <v>11</v>
      </c>
      <c r="E24" s="46" t="s">
        <v>132</v>
      </c>
      <c r="F24" s="36" t="s">
        <v>133</v>
      </c>
      <c r="G24" s="37"/>
      <c r="H24" s="36" t="s">
        <v>14</v>
      </c>
      <c r="I24" s="38" t="s">
        <v>53</v>
      </c>
    </row>
    <row r="25" spans="2:9" ht="15.75" customHeight="1" x14ac:dyDescent="0.3">
      <c r="B25" s="25"/>
      <c r="C25" s="40" t="s">
        <v>54</v>
      </c>
      <c r="D25" s="39"/>
      <c r="E25" s="39"/>
      <c r="F25" s="39"/>
      <c r="G25" s="40" t="s">
        <v>55</v>
      </c>
      <c r="H25" s="39"/>
      <c r="I25" s="40" t="s">
        <v>56</v>
      </c>
    </row>
    <row r="26" spans="2:9" ht="31.5" customHeight="1" x14ac:dyDescent="0.3">
      <c r="B26" s="25" t="s">
        <v>72</v>
      </c>
      <c r="C26" s="44" t="s">
        <v>134</v>
      </c>
      <c r="G26" t="s">
        <v>58</v>
      </c>
      <c r="I26">
        <v>2</v>
      </c>
    </row>
    <row r="27" spans="2:9" ht="15.75" customHeight="1" x14ac:dyDescent="0.3">
      <c r="B27" s="25" t="s">
        <v>73</v>
      </c>
      <c r="C27" s="44" t="s">
        <v>135</v>
      </c>
      <c r="G27" t="s">
        <v>60</v>
      </c>
      <c r="I27">
        <v>2</v>
      </c>
    </row>
    <row r="28" spans="2:9" ht="30" customHeight="1" x14ac:dyDescent="0.25">
      <c r="B28" s="2"/>
      <c r="C28" s="1"/>
      <c r="D28" s="1"/>
      <c r="E28" s="1"/>
      <c r="F28" s="1"/>
      <c r="G28" s="1"/>
      <c r="H28" s="1"/>
      <c r="I28" s="1"/>
    </row>
    <row r="29" spans="2:9" ht="15.75" customHeight="1" x14ac:dyDescent="0.25">
      <c r="B29" s="36" t="s">
        <v>136</v>
      </c>
      <c r="C29" s="36" t="s">
        <v>137</v>
      </c>
      <c r="D29" s="36" t="s">
        <v>11</v>
      </c>
      <c r="E29" s="46" t="s">
        <v>138</v>
      </c>
      <c r="F29" s="46" t="s">
        <v>139</v>
      </c>
      <c r="G29" s="37"/>
      <c r="H29" s="36" t="s">
        <v>14</v>
      </c>
      <c r="I29" s="38" t="s">
        <v>53</v>
      </c>
    </row>
    <row r="30" spans="2:9" ht="15.75" customHeight="1" x14ac:dyDescent="0.25">
      <c r="B30" s="2"/>
      <c r="C30" s="40" t="s">
        <v>54</v>
      </c>
      <c r="D30" s="39"/>
      <c r="E30" s="39"/>
      <c r="F30" s="39"/>
      <c r="G30" s="40" t="s">
        <v>55</v>
      </c>
      <c r="H30" s="39"/>
      <c r="I30" s="40" t="s">
        <v>56</v>
      </c>
    </row>
    <row r="31" spans="2:9" ht="15.75" customHeight="1" x14ac:dyDescent="0.3">
      <c r="B31" s="25" t="s">
        <v>74</v>
      </c>
      <c r="C31" s="43" t="s">
        <v>140</v>
      </c>
      <c r="E31" t="s">
        <v>141</v>
      </c>
      <c r="G31" t="s">
        <v>58</v>
      </c>
      <c r="I31">
        <v>2</v>
      </c>
    </row>
    <row r="32" spans="2:9" ht="15.75" customHeight="1" x14ac:dyDescent="0.3">
      <c r="B32" s="25" t="s">
        <v>75</v>
      </c>
      <c r="C32" t="s">
        <v>142</v>
      </c>
      <c r="G32" t="s">
        <v>60</v>
      </c>
      <c r="I32">
        <v>1</v>
      </c>
    </row>
    <row r="33" spans="2:9" ht="15.75" customHeight="1" x14ac:dyDescent="0.25">
      <c r="B33" s="48"/>
      <c r="C33" s="48"/>
      <c r="D33" s="48"/>
      <c r="E33" s="49" t="s">
        <v>156</v>
      </c>
      <c r="F33" s="48"/>
      <c r="G33" s="48"/>
      <c r="H33" s="48"/>
      <c r="I33" s="48"/>
    </row>
    <row r="34" spans="2:9" ht="15.75" customHeight="1" x14ac:dyDescent="0.25">
      <c r="B34" s="6" t="s">
        <v>143</v>
      </c>
      <c r="C34" s="7" t="s">
        <v>144</v>
      </c>
      <c r="D34" s="7" t="s">
        <v>11</v>
      </c>
      <c r="E34" s="7" t="s">
        <v>51</v>
      </c>
      <c r="F34" s="7" t="s">
        <v>52</v>
      </c>
      <c r="G34" s="6"/>
      <c r="H34" s="6" t="s">
        <v>14</v>
      </c>
      <c r="I34" s="8" t="s">
        <v>53</v>
      </c>
    </row>
    <row r="35" spans="2:9" ht="15.75" customHeight="1" x14ac:dyDescent="0.25">
      <c r="B35" s="2"/>
      <c r="C35" s="3" t="s">
        <v>54</v>
      </c>
      <c r="D35" s="2"/>
      <c r="E35" s="2"/>
      <c r="F35" s="2"/>
      <c r="G35" s="3" t="s">
        <v>55</v>
      </c>
      <c r="H35" s="2"/>
      <c r="I35" s="3" t="s">
        <v>56</v>
      </c>
    </row>
    <row r="36" spans="2:9" ht="15.75" customHeight="1" x14ac:dyDescent="0.25">
      <c r="B36" s="5" t="s">
        <v>95</v>
      </c>
      <c r="C36" s="42" t="s">
        <v>145</v>
      </c>
      <c r="D36" s="42"/>
      <c r="E36" s="42"/>
      <c r="F36" s="42"/>
      <c r="G36" s="2" t="s">
        <v>58</v>
      </c>
      <c r="H36" s="2"/>
      <c r="I36" s="4">
        <v>2</v>
      </c>
    </row>
    <row r="37" spans="2:9" ht="15.75" customHeight="1" x14ac:dyDescent="0.25">
      <c r="B37" s="5" t="s">
        <v>83</v>
      </c>
      <c r="C37" s="47" t="s">
        <v>146</v>
      </c>
      <c r="D37" s="42"/>
      <c r="E37" s="42"/>
      <c r="F37" s="42"/>
      <c r="G37" s="2" t="s">
        <v>60</v>
      </c>
      <c r="H37" s="2"/>
      <c r="I37" s="4">
        <v>2</v>
      </c>
    </row>
    <row r="38" spans="2:9" ht="15.75" customHeight="1" x14ac:dyDescent="0.25">
      <c r="B38" s="5" t="s">
        <v>84</v>
      </c>
      <c r="C38" s="47" t="s">
        <v>147</v>
      </c>
      <c r="D38" s="42"/>
      <c r="E38" s="42"/>
      <c r="F38" s="42"/>
      <c r="G38" s="2" t="s">
        <v>63</v>
      </c>
      <c r="H38" s="2"/>
      <c r="I38" s="4">
        <v>2</v>
      </c>
    </row>
    <row r="39" spans="2:9" ht="15.75" customHeight="1" x14ac:dyDescent="0.25">
      <c r="B39" s="5" t="s">
        <v>85</v>
      </c>
      <c r="C39" s="42" t="s">
        <v>148</v>
      </c>
      <c r="D39" s="42"/>
      <c r="E39" s="42"/>
      <c r="F39" s="42"/>
      <c r="G39" s="2" t="s">
        <v>60</v>
      </c>
      <c r="H39" s="2"/>
      <c r="I39" s="2">
        <v>1</v>
      </c>
    </row>
    <row r="40" spans="2:9" ht="15.75" customHeight="1" x14ac:dyDescent="0.25">
      <c r="B40" s="5" t="s">
        <v>149</v>
      </c>
      <c r="C40" s="2" t="s">
        <v>117</v>
      </c>
      <c r="D40" s="2"/>
      <c r="E40" s="2"/>
      <c r="F40" s="2"/>
      <c r="G40" s="2" t="s">
        <v>63</v>
      </c>
      <c r="H40" s="2"/>
      <c r="I40" s="2">
        <v>1</v>
      </c>
    </row>
    <row r="41" spans="2:9" ht="15.75" customHeight="1" x14ac:dyDescent="0.25">
      <c r="B41" s="5"/>
      <c r="C41" s="2"/>
      <c r="D41" s="2"/>
      <c r="E41" s="2"/>
      <c r="F41" s="2"/>
      <c r="G41" s="2"/>
      <c r="H41" s="2"/>
      <c r="I41" s="2"/>
    </row>
    <row r="42" spans="2:9" ht="15.75" customHeight="1" x14ac:dyDescent="0.25">
      <c r="B42" s="36" t="s">
        <v>150</v>
      </c>
      <c r="C42" s="36" t="s">
        <v>151</v>
      </c>
      <c r="D42" s="36" t="s">
        <v>11</v>
      </c>
      <c r="E42" s="36" t="s">
        <v>64</v>
      </c>
      <c r="F42" s="36" t="s">
        <v>65</v>
      </c>
      <c r="G42" s="37"/>
      <c r="H42" s="36" t="s">
        <v>14</v>
      </c>
      <c r="I42" s="38" t="s">
        <v>53</v>
      </c>
    </row>
    <row r="43" spans="2:9" ht="15.75" customHeight="1" x14ac:dyDescent="0.25">
      <c r="B43" s="39"/>
      <c r="C43" s="40" t="s">
        <v>54</v>
      </c>
      <c r="D43" s="39"/>
      <c r="E43" s="39"/>
      <c r="F43" s="39"/>
      <c r="G43" s="40" t="s">
        <v>55</v>
      </c>
      <c r="H43" s="39"/>
      <c r="I43" s="40" t="s">
        <v>56</v>
      </c>
    </row>
    <row r="44" spans="2:9" ht="15.75" customHeight="1" x14ac:dyDescent="0.3">
      <c r="B44" s="41" t="s">
        <v>86</v>
      </c>
      <c r="C44" s="39" t="s">
        <v>152</v>
      </c>
      <c r="D44" s="42"/>
      <c r="E44" s="42"/>
      <c r="F44" s="39"/>
      <c r="G44" s="39" t="s">
        <v>63</v>
      </c>
      <c r="H44" s="42"/>
      <c r="I44" s="39">
        <v>2</v>
      </c>
    </row>
    <row r="45" spans="2:9" ht="15.75" customHeight="1" x14ac:dyDescent="0.3">
      <c r="B45" s="41" t="s">
        <v>87</v>
      </c>
      <c r="C45" s="39" t="s">
        <v>153</v>
      </c>
      <c r="D45" s="42"/>
      <c r="E45" s="42"/>
      <c r="F45" s="39"/>
      <c r="G45" s="39" t="s">
        <v>60</v>
      </c>
      <c r="H45" s="42"/>
      <c r="I45" s="39">
        <v>2</v>
      </c>
    </row>
    <row r="46" spans="2:9" ht="15.75" customHeight="1" x14ac:dyDescent="0.3">
      <c r="B46" s="41"/>
      <c r="C46" s="39"/>
      <c r="D46" s="42"/>
      <c r="E46" s="42"/>
      <c r="F46" s="39"/>
      <c r="G46" s="39"/>
      <c r="H46" s="42"/>
      <c r="I46" s="39"/>
    </row>
    <row r="47" spans="2:9" ht="15.75" customHeight="1" x14ac:dyDescent="0.25">
      <c r="B47" s="36" t="s">
        <v>154</v>
      </c>
      <c r="C47" s="38" t="s">
        <v>155</v>
      </c>
      <c r="D47" s="36" t="s">
        <v>11</v>
      </c>
      <c r="E47" s="36" t="s">
        <v>125</v>
      </c>
      <c r="F47" s="36" t="s">
        <v>126</v>
      </c>
      <c r="G47" s="37"/>
      <c r="H47" s="36" t="s">
        <v>14</v>
      </c>
      <c r="I47" s="38" t="s">
        <v>53</v>
      </c>
    </row>
    <row r="48" spans="2:9" ht="15.75" customHeight="1" x14ac:dyDescent="0.25">
      <c r="B48" s="39"/>
      <c r="C48" s="40" t="s">
        <v>54</v>
      </c>
      <c r="D48" s="39"/>
      <c r="E48" s="39"/>
      <c r="F48" s="39"/>
      <c r="G48" s="40" t="s">
        <v>55</v>
      </c>
      <c r="H48" s="39"/>
      <c r="I48" s="40" t="s">
        <v>56</v>
      </c>
    </row>
    <row r="49" spans="2:9" ht="15.75" customHeight="1" x14ac:dyDescent="0.3">
      <c r="B49" s="41" t="s">
        <v>88</v>
      </c>
      <c r="C49" s="43" t="s">
        <v>140</v>
      </c>
      <c r="D49" s="39"/>
      <c r="E49" s="39"/>
      <c r="F49" s="39"/>
      <c r="G49" s="39" t="s">
        <v>58</v>
      </c>
      <c r="H49" s="42"/>
      <c r="I49" s="39">
        <v>2</v>
      </c>
    </row>
    <row r="50" spans="2:9" ht="15.75" customHeight="1" x14ac:dyDescent="0.3">
      <c r="B50" s="41" t="s">
        <v>89</v>
      </c>
      <c r="C50" t="s">
        <v>142</v>
      </c>
      <c r="D50" s="39"/>
      <c r="E50" s="39"/>
      <c r="F50" s="39"/>
      <c r="G50" s="39" t="s">
        <v>63</v>
      </c>
      <c r="H50" s="42"/>
      <c r="I50" s="39">
        <v>1</v>
      </c>
    </row>
    <row r="51" spans="2:9" ht="15.75" customHeight="1" x14ac:dyDescent="0.25">
      <c r="B51" s="48"/>
      <c r="C51" s="48"/>
      <c r="D51" s="48"/>
      <c r="E51" s="49" t="s">
        <v>157</v>
      </c>
      <c r="F51" s="48"/>
      <c r="G51" s="48"/>
      <c r="H51" s="48"/>
      <c r="I51" s="48"/>
    </row>
    <row r="52" spans="2:9" ht="15.75" customHeight="1" x14ac:dyDescent="0.25">
      <c r="B52" s="6" t="s">
        <v>179</v>
      </c>
      <c r="C52" s="7" t="s">
        <v>161</v>
      </c>
      <c r="D52" s="7" t="s">
        <v>11</v>
      </c>
      <c r="E52" s="7" t="s">
        <v>51</v>
      </c>
      <c r="F52" s="7" t="s">
        <v>52</v>
      </c>
      <c r="G52" s="6"/>
      <c r="H52" s="6" t="s">
        <v>14</v>
      </c>
      <c r="I52" s="8" t="s">
        <v>53</v>
      </c>
    </row>
    <row r="53" spans="2:9" ht="15.75" customHeight="1" x14ac:dyDescent="0.25">
      <c r="B53" s="2"/>
      <c r="C53" s="3" t="s">
        <v>54</v>
      </c>
      <c r="D53" s="2"/>
      <c r="E53" s="2"/>
      <c r="F53" s="2"/>
      <c r="G53" s="3" t="s">
        <v>55</v>
      </c>
      <c r="H53" s="2"/>
      <c r="I53" s="3" t="s">
        <v>56</v>
      </c>
    </row>
    <row r="54" spans="2:9" ht="15.75" customHeight="1" x14ac:dyDescent="0.25">
      <c r="B54" s="5" t="s">
        <v>97</v>
      </c>
      <c r="C54" s="42" t="s">
        <v>170</v>
      </c>
      <c r="D54" s="42"/>
      <c r="E54" s="42"/>
      <c r="F54" s="42"/>
      <c r="G54" s="2" t="s">
        <v>58</v>
      </c>
      <c r="H54" s="2"/>
      <c r="I54" s="4">
        <v>2</v>
      </c>
    </row>
    <row r="55" spans="2:9" ht="15.75" customHeight="1" x14ac:dyDescent="0.25">
      <c r="B55" s="5" t="s">
        <v>90</v>
      </c>
      <c r="C55" s="47" t="s">
        <v>146</v>
      </c>
      <c r="D55" s="42"/>
      <c r="E55" s="42"/>
      <c r="F55" s="42"/>
      <c r="G55" s="2" t="s">
        <v>60</v>
      </c>
      <c r="H55" s="2"/>
      <c r="I55" s="4">
        <v>2</v>
      </c>
    </row>
    <row r="56" spans="2:9" ht="15.75" customHeight="1" x14ac:dyDescent="0.25">
      <c r="B56" s="5" t="s">
        <v>174</v>
      </c>
      <c r="C56" s="42" t="s">
        <v>171</v>
      </c>
      <c r="D56" s="42"/>
      <c r="E56" s="42"/>
      <c r="F56" s="42"/>
      <c r="G56" s="2" t="s">
        <v>60</v>
      </c>
      <c r="H56" s="2"/>
      <c r="I56" s="2">
        <v>1</v>
      </c>
    </row>
    <row r="57" spans="2:9" ht="15.75" customHeight="1" x14ac:dyDescent="0.25">
      <c r="B57" s="5" t="s">
        <v>175</v>
      </c>
      <c r="C57" s="2" t="s">
        <v>117</v>
      </c>
      <c r="D57" s="2"/>
      <c r="E57" s="2"/>
      <c r="F57" s="2"/>
      <c r="G57" s="2" t="s">
        <v>63</v>
      </c>
      <c r="H57" s="2"/>
      <c r="I57" s="2">
        <v>1</v>
      </c>
    </row>
    <row r="58" spans="2:9" ht="15.75" customHeight="1" x14ac:dyDescent="0.25">
      <c r="B58" s="5"/>
      <c r="C58" s="2"/>
      <c r="D58" s="2"/>
      <c r="E58" s="2"/>
      <c r="F58" s="2"/>
      <c r="G58" s="2"/>
      <c r="H58" s="2"/>
      <c r="I58" s="2"/>
    </row>
    <row r="59" spans="2:9" ht="15.75" customHeight="1" x14ac:dyDescent="0.25">
      <c r="B59" s="36" t="s">
        <v>180</v>
      </c>
      <c r="C59" s="36" t="s">
        <v>164</v>
      </c>
      <c r="D59" s="36" t="s">
        <v>11</v>
      </c>
      <c r="E59" s="36" t="s">
        <v>64</v>
      </c>
      <c r="F59" s="36" t="s">
        <v>65</v>
      </c>
      <c r="G59" s="37"/>
      <c r="H59" s="36" t="s">
        <v>14</v>
      </c>
      <c r="I59" s="38" t="s">
        <v>53</v>
      </c>
    </row>
    <row r="60" spans="2:9" ht="15.75" customHeight="1" x14ac:dyDescent="0.25">
      <c r="B60" s="39"/>
      <c r="C60" s="40" t="s">
        <v>54</v>
      </c>
      <c r="D60" s="39"/>
      <c r="E60" s="39"/>
      <c r="F60" s="39"/>
      <c r="G60" s="40" t="s">
        <v>55</v>
      </c>
      <c r="H60" s="39"/>
      <c r="I60" s="40" t="s">
        <v>56</v>
      </c>
    </row>
    <row r="61" spans="2:9" ht="15.75" customHeight="1" x14ac:dyDescent="0.3">
      <c r="B61" s="41" t="s">
        <v>91</v>
      </c>
      <c r="C61" s="39" t="s">
        <v>172</v>
      </c>
      <c r="D61" s="42"/>
      <c r="E61" s="42"/>
      <c r="F61" s="39"/>
      <c r="G61" s="39" t="s">
        <v>63</v>
      </c>
      <c r="H61" s="42"/>
      <c r="I61" s="39">
        <v>1</v>
      </c>
    </row>
    <row r="62" spans="2:9" ht="15.75" customHeight="1" x14ac:dyDescent="0.3">
      <c r="B62" s="41" t="s">
        <v>92</v>
      </c>
      <c r="C62" s="39" t="s">
        <v>153</v>
      </c>
      <c r="D62" s="42"/>
      <c r="E62" s="42"/>
      <c r="F62" s="39"/>
      <c r="G62" s="39" t="s">
        <v>60</v>
      </c>
      <c r="H62" s="42"/>
      <c r="I62" s="39">
        <v>2</v>
      </c>
    </row>
    <row r="63" spans="2:9" ht="15.75" customHeight="1" x14ac:dyDescent="0.3">
      <c r="B63" s="41"/>
      <c r="C63" s="39"/>
      <c r="D63" s="42"/>
      <c r="E63" s="42"/>
      <c r="F63" s="39"/>
      <c r="G63" s="39"/>
      <c r="H63" s="42"/>
      <c r="I63" s="39"/>
    </row>
    <row r="64" spans="2:9" ht="15.75" customHeight="1" x14ac:dyDescent="0.25">
      <c r="B64" s="36" t="s">
        <v>181</v>
      </c>
      <c r="C64" s="38" t="s">
        <v>162</v>
      </c>
      <c r="D64" s="36" t="s">
        <v>11</v>
      </c>
      <c r="E64" s="36" t="s">
        <v>125</v>
      </c>
      <c r="F64" s="36" t="s">
        <v>126</v>
      </c>
      <c r="G64" s="37"/>
      <c r="H64" s="36" t="s">
        <v>14</v>
      </c>
      <c r="I64" s="38" t="s">
        <v>53</v>
      </c>
    </row>
    <row r="65" spans="2:9" ht="15.75" customHeight="1" x14ac:dyDescent="0.25">
      <c r="B65" s="39"/>
      <c r="C65" s="40" t="s">
        <v>54</v>
      </c>
      <c r="D65" s="39"/>
      <c r="E65" s="39"/>
      <c r="F65" s="39"/>
      <c r="G65" s="40" t="s">
        <v>55</v>
      </c>
      <c r="H65" s="39"/>
      <c r="I65" s="40" t="s">
        <v>56</v>
      </c>
    </row>
    <row r="66" spans="2:9" ht="27" customHeight="1" x14ac:dyDescent="0.3">
      <c r="B66" s="41" t="s">
        <v>176</v>
      </c>
      <c r="C66" s="43" t="s">
        <v>173</v>
      </c>
      <c r="D66" s="39"/>
      <c r="E66" s="39"/>
      <c r="F66" s="39"/>
      <c r="G66" s="39" t="s">
        <v>58</v>
      </c>
      <c r="H66" s="42"/>
      <c r="I66" s="39">
        <v>1</v>
      </c>
    </row>
    <row r="67" spans="2:9" ht="15.75" customHeight="1" x14ac:dyDescent="0.3">
      <c r="B67" s="41" t="s">
        <v>177</v>
      </c>
      <c r="C67" t="s">
        <v>142</v>
      </c>
      <c r="D67" s="39"/>
      <c r="E67" s="39"/>
      <c r="F67" s="39"/>
      <c r="G67" s="39" t="s">
        <v>63</v>
      </c>
      <c r="H67" s="42"/>
      <c r="I67" s="39">
        <v>2</v>
      </c>
    </row>
    <row r="68" spans="2:9" ht="15.75" customHeight="1" x14ac:dyDescent="0.25">
      <c r="B68" s="48"/>
      <c r="C68" s="48"/>
      <c r="D68" s="48"/>
      <c r="E68" s="49" t="s">
        <v>169</v>
      </c>
      <c r="F68" s="48"/>
      <c r="G68" s="48"/>
      <c r="H68" s="48"/>
      <c r="I68" s="48"/>
    </row>
    <row r="69" spans="2:9" ht="15.75" customHeight="1" x14ac:dyDescent="0.25">
      <c r="B69" s="6" t="s">
        <v>182</v>
      </c>
      <c r="C69" s="7" t="s">
        <v>42</v>
      </c>
      <c r="D69" s="7" t="s">
        <v>11</v>
      </c>
      <c r="E69" s="7" t="s">
        <v>51</v>
      </c>
      <c r="F69" s="7" t="s">
        <v>52</v>
      </c>
      <c r="G69" s="6"/>
      <c r="H69" s="6" t="s">
        <v>14</v>
      </c>
      <c r="I69" s="8" t="s">
        <v>53</v>
      </c>
    </row>
    <row r="70" spans="2:9" ht="15.75" customHeight="1" x14ac:dyDescent="0.25">
      <c r="B70" s="2"/>
      <c r="C70" s="3" t="s">
        <v>54</v>
      </c>
      <c r="D70" s="2"/>
      <c r="E70" s="2"/>
      <c r="F70" s="2"/>
      <c r="G70" s="3" t="s">
        <v>55</v>
      </c>
      <c r="H70" s="2"/>
      <c r="I70" s="3" t="s">
        <v>56</v>
      </c>
    </row>
    <row r="71" spans="2:9" ht="13.2" x14ac:dyDescent="0.25">
      <c r="B71" s="5" t="s">
        <v>178</v>
      </c>
      <c r="C71" s="42" t="s">
        <v>184</v>
      </c>
      <c r="D71" s="42"/>
      <c r="E71" s="42"/>
      <c r="F71" s="42"/>
      <c r="G71" s="2" t="s">
        <v>58</v>
      </c>
      <c r="H71" s="2"/>
      <c r="I71" s="4">
        <v>1</v>
      </c>
    </row>
    <row r="72" spans="2:9" ht="15.75" customHeight="1" x14ac:dyDescent="0.25">
      <c r="B72" s="5" t="s">
        <v>185</v>
      </c>
      <c r="C72" s="2" t="s">
        <v>186</v>
      </c>
      <c r="D72" s="2"/>
      <c r="E72" s="2"/>
      <c r="F72" s="2"/>
      <c r="G72" s="2" t="s">
        <v>63</v>
      </c>
      <c r="H72" s="2"/>
      <c r="I72" s="2">
        <v>2</v>
      </c>
    </row>
    <row r="73" spans="2:9" ht="15.75" customHeight="1" x14ac:dyDescent="0.25">
      <c r="B73" s="5"/>
      <c r="C73" s="2"/>
      <c r="D73" s="2"/>
      <c r="E73" s="2"/>
      <c r="F73" s="2"/>
      <c r="G73" s="2"/>
      <c r="H73" s="2"/>
      <c r="I73" s="2"/>
    </row>
    <row r="74" spans="2:9" ht="15.75" customHeight="1" x14ac:dyDescent="0.25">
      <c r="B74" s="36" t="s">
        <v>183</v>
      </c>
      <c r="C74" s="36" t="s">
        <v>45</v>
      </c>
      <c r="D74" s="36" t="s">
        <v>11</v>
      </c>
      <c r="E74" s="36" t="s">
        <v>64</v>
      </c>
      <c r="F74" s="36" t="s">
        <v>65</v>
      </c>
      <c r="G74" s="37"/>
      <c r="H74" s="36" t="s">
        <v>14</v>
      </c>
      <c r="I74" s="38" t="s">
        <v>53</v>
      </c>
    </row>
    <row r="75" spans="2:9" ht="15.75" customHeight="1" x14ac:dyDescent="0.25">
      <c r="B75" s="39"/>
      <c r="C75" s="40" t="s">
        <v>54</v>
      </c>
      <c r="D75" s="39"/>
      <c r="E75" s="39"/>
      <c r="F75" s="39"/>
      <c r="G75" s="40" t="s">
        <v>55</v>
      </c>
      <c r="H75" s="39"/>
      <c r="I75" s="40" t="s">
        <v>56</v>
      </c>
    </row>
    <row r="76" spans="2:9" ht="23.25" customHeight="1" x14ac:dyDescent="0.3">
      <c r="B76" s="41" t="s">
        <v>187</v>
      </c>
      <c r="C76" s="39" t="s">
        <v>189</v>
      </c>
      <c r="D76" s="42"/>
      <c r="E76" s="42"/>
      <c r="F76" s="39"/>
      <c r="G76" s="39" t="s">
        <v>63</v>
      </c>
      <c r="H76" s="42"/>
      <c r="I76" s="39">
        <v>1</v>
      </c>
    </row>
    <row r="77" spans="2:9" ht="15.75" customHeight="1" x14ac:dyDescent="0.3">
      <c r="B77" s="41" t="s">
        <v>188</v>
      </c>
      <c r="C77" s="39" t="s">
        <v>186</v>
      </c>
      <c r="D77" s="42"/>
      <c r="E77" s="42"/>
      <c r="F77" s="39"/>
      <c r="G77" s="39" t="s">
        <v>60</v>
      </c>
      <c r="H77" s="42"/>
      <c r="I77" s="39">
        <v>2</v>
      </c>
    </row>
    <row r="78" spans="2:9" ht="15.75" customHeight="1" x14ac:dyDescent="0.25"/>
    <row r="79" spans="2:9" ht="15.75" customHeight="1" x14ac:dyDescent="0.25"/>
    <row r="80" spans="2:9" ht="15.75" customHeight="1" x14ac:dyDescent="0.25"/>
    <row r="81" ht="27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</sheetData>
  <phoneticPr fontId="4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22"/>
  <sheetViews>
    <sheetView tabSelected="1" topLeftCell="A55" zoomScale="73" zoomScaleNormal="85" workbookViewId="0">
      <selection activeCell="M74" sqref="M74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3" width="12.44140625" customWidth="1"/>
    <col min="4" max="4" width="11.88671875" bestFit="1" customWidth="1"/>
    <col min="5" max="13" width="6.33203125" bestFit="1" customWidth="1"/>
    <col min="14" max="20" width="5.33203125" bestFit="1" customWidth="1"/>
    <col min="21" max="21" width="5.6640625" bestFit="1" customWidth="1"/>
    <col min="22" max="22" width="5.33203125" bestFit="1" customWidth="1"/>
    <col min="23" max="23" width="17.109375" customWidth="1"/>
    <col min="24" max="40" width="12.44140625" customWidth="1"/>
  </cols>
  <sheetData>
    <row r="1" spans="1:24" ht="15.75" customHeight="1" x14ac:dyDescent="0.25"/>
    <row r="2" spans="1:24" ht="15.75" customHeight="1" thickBot="1" x14ac:dyDescent="0.3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4" ht="15.75" customHeight="1" thickBot="1" x14ac:dyDescent="0.3">
      <c r="A3" s="9"/>
      <c r="B3" s="60" t="s">
        <v>76</v>
      </c>
      <c r="C3" s="61" t="s">
        <v>56</v>
      </c>
      <c r="D3" s="61" t="s">
        <v>111</v>
      </c>
      <c r="E3" s="61" t="s">
        <v>110</v>
      </c>
      <c r="F3" s="61" t="s">
        <v>109</v>
      </c>
      <c r="G3" s="61" t="s">
        <v>108</v>
      </c>
      <c r="H3" s="62" t="s">
        <v>107</v>
      </c>
      <c r="I3" s="62" t="s">
        <v>106</v>
      </c>
      <c r="J3" s="62" t="s">
        <v>105</v>
      </c>
      <c r="K3" s="62" t="s">
        <v>104</v>
      </c>
      <c r="L3" s="62" t="s">
        <v>103</v>
      </c>
      <c r="M3" s="63" t="s">
        <v>102</v>
      </c>
      <c r="N3" s="63" t="s">
        <v>101</v>
      </c>
      <c r="O3" s="63" t="s">
        <v>100</v>
      </c>
      <c r="P3" s="63" t="s">
        <v>99</v>
      </c>
      <c r="Q3" s="63" t="s">
        <v>98</v>
      </c>
      <c r="R3" s="64" t="s">
        <v>77</v>
      </c>
      <c r="S3" s="64" t="s">
        <v>78</v>
      </c>
      <c r="T3" s="64" t="s">
        <v>79</v>
      </c>
      <c r="U3" s="64" t="s">
        <v>80</v>
      </c>
      <c r="V3" s="64" t="s">
        <v>81</v>
      </c>
      <c r="W3" s="65" t="s">
        <v>82</v>
      </c>
      <c r="X3" s="9"/>
    </row>
    <row r="4" spans="1:24" ht="15.75" customHeight="1" x14ac:dyDescent="0.25">
      <c r="A4" s="9"/>
      <c r="B4" s="68" t="s">
        <v>57</v>
      </c>
      <c r="C4" s="69">
        <v>2</v>
      </c>
      <c r="D4" s="70">
        <v>0</v>
      </c>
      <c r="E4" s="70">
        <v>0</v>
      </c>
      <c r="F4" s="70">
        <v>0</v>
      </c>
      <c r="G4" s="70">
        <v>0</v>
      </c>
      <c r="H4" s="71">
        <v>0</v>
      </c>
      <c r="I4" s="71">
        <v>0</v>
      </c>
      <c r="J4" s="71">
        <v>0</v>
      </c>
      <c r="K4" s="71">
        <v>0</v>
      </c>
      <c r="L4" s="71">
        <v>0</v>
      </c>
      <c r="M4" s="72">
        <v>0</v>
      </c>
      <c r="N4" s="72">
        <v>0</v>
      </c>
      <c r="O4" s="72">
        <v>0</v>
      </c>
      <c r="P4" s="72">
        <v>0</v>
      </c>
      <c r="Q4" s="72">
        <v>0</v>
      </c>
      <c r="R4" s="73">
        <v>0</v>
      </c>
      <c r="S4" s="73">
        <v>0</v>
      </c>
      <c r="T4" s="73">
        <v>1</v>
      </c>
      <c r="U4" s="73">
        <v>0</v>
      </c>
      <c r="V4" s="73">
        <v>1</v>
      </c>
      <c r="W4" s="74">
        <f>SUM(R4:V4)</f>
        <v>2</v>
      </c>
      <c r="X4" s="9"/>
    </row>
    <row r="5" spans="1:24" ht="15.75" customHeight="1" x14ac:dyDescent="0.25">
      <c r="A5" s="9"/>
      <c r="B5" s="18" t="s">
        <v>59</v>
      </c>
      <c r="C5" s="12">
        <v>1</v>
      </c>
      <c r="D5" s="13">
        <v>0</v>
      </c>
      <c r="E5" s="13">
        <v>0</v>
      </c>
      <c r="F5" s="13">
        <v>0</v>
      </c>
      <c r="G5" s="13">
        <v>0</v>
      </c>
      <c r="H5" s="56">
        <v>0</v>
      </c>
      <c r="I5" s="56">
        <v>0</v>
      </c>
      <c r="J5" s="56">
        <v>0</v>
      </c>
      <c r="K5" s="56">
        <v>0</v>
      </c>
      <c r="L5" s="56">
        <v>0</v>
      </c>
      <c r="M5" s="53">
        <v>0</v>
      </c>
      <c r="N5" s="53">
        <v>0</v>
      </c>
      <c r="O5" s="53">
        <v>0</v>
      </c>
      <c r="P5" s="53">
        <v>0</v>
      </c>
      <c r="Q5" s="53">
        <v>0</v>
      </c>
      <c r="R5" s="50">
        <v>0</v>
      </c>
      <c r="S5" s="50">
        <v>0</v>
      </c>
      <c r="T5" s="50">
        <v>0</v>
      </c>
      <c r="U5" s="50">
        <v>1</v>
      </c>
      <c r="V5" s="50">
        <v>0</v>
      </c>
      <c r="W5" s="19">
        <f t="shared" ref="W5:W17" si="0">SUM(R5:V5)</f>
        <v>1</v>
      </c>
      <c r="X5" s="9"/>
    </row>
    <row r="6" spans="1:24" ht="15.75" customHeight="1" x14ac:dyDescent="0.25">
      <c r="A6" s="9"/>
      <c r="B6" s="18" t="s">
        <v>61</v>
      </c>
      <c r="C6" s="12">
        <v>1</v>
      </c>
      <c r="D6" s="13">
        <v>0</v>
      </c>
      <c r="E6" s="13">
        <v>0</v>
      </c>
      <c r="F6" s="13">
        <v>0</v>
      </c>
      <c r="G6" s="13">
        <v>0</v>
      </c>
      <c r="H6" s="56">
        <v>0</v>
      </c>
      <c r="I6" s="56">
        <v>0</v>
      </c>
      <c r="J6" s="56">
        <v>0</v>
      </c>
      <c r="K6" s="56">
        <v>0</v>
      </c>
      <c r="L6" s="56">
        <v>0</v>
      </c>
      <c r="M6" s="53">
        <v>0</v>
      </c>
      <c r="N6" s="53">
        <v>0</v>
      </c>
      <c r="O6" s="53">
        <v>0</v>
      </c>
      <c r="P6" s="53">
        <v>0</v>
      </c>
      <c r="Q6" s="53">
        <v>0</v>
      </c>
      <c r="R6" s="50">
        <v>0</v>
      </c>
      <c r="S6" s="50">
        <v>0</v>
      </c>
      <c r="T6" s="50">
        <v>1</v>
      </c>
      <c r="U6" s="50">
        <v>0</v>
      </c>
      <c r="V6" s="50">
        <v>0</v>
      </c>
      <c r="W6" s="19">
        <f t="shared" si="0"/>
        <v>1</v>
      </c>
      <c r="X6" s="9"/>
    </row>
    <row r="7" spans="1:24" ht="15.75" customHeight="1" x14ac:dyDescent="0.25">
      <c r="A7" s="9"/>
      <c r="B7" s="18" t="s">
        <v>62</v>
      </c>
      <c r="C7" s="14">
        <v>1</v>
      </c>
      <c r="D7" s="45">
        <v>0</v>
      </c>
      <c r="E7" s="45">
        <v>0</v>
      </c>
      <c r="F7" s="45">
        <v>0</v>
      </c>
      <c r="G7" s="45">
        <v>0</v>
      </c>
      <c r="H7" s="57">
        <v>0</v>
      </c>
      <c r="I7" s="57">
        <v>0</v>
      </c>
      <c r="J7" s="57">
        <v>0</v>
      </c>
      <c r="K7" s="57">
        <v>0</v>
      </c>
      <c r="L7" s="57">
        <v>0</v>
      </c>
      <c r="M7" s="54">
        <v>0</v>
      </c>
      <c r="N7" s="54">
        <v>0</v>
      </c>
      <c r="O7" s="54">
        <v>0</v>
      </c>
      <c r="P7" s="54">
        <v>0</v>
      </c>
      <c r="Q7" s="54">
        <v>0</v>
      </c>
      <c r="R7" s="50">
        <v>0</v>
      </c>
      <c r="S7" s="50">
        <v>1</v>
      </c>
      <c r="T7" s="50">
        <v>0</v>
      </c>
      <c r="U7" s="50">
        <v>0</v>
      </c>
      <c r="V7" s="50">
        <v>0</v>
      </c>
      <c r="W7" s="19">
        <f t="shared" si="0"/>
        <v>1</v>
      </c>
      <c r="X7" s="9"/>
    </row>
    <row r="8" spans="1:24" ht="15.75" customHeight="1" x14ac:dyDescent="0.25">
      <c r="A8" s="9"/>
      <c r="B8" s="18" t="s">
        <v>66</v>
      </c>
      <c r="C8" s="14">
        <v>2</v>
      </c>
      <c r="D8" s="45">
        <v>0</v>
      </c>
      <c r="E8" s="45">
        <v>0</v>
      </c>
      <c r="F8" s="45">
        <v>0</v>
      </c>
      <c r="G8" s="45">
        <v>0</v>
      </c>
      <c r="H8" s="57">
        <v>0</v>
      </c>
      <c r="I8" s="57">
        <v>0</v>
      </c>
      <c r="J8" s="57">
        <v>0</v>
      </c>
      <c r="K8" s="57">
        <v>0</v>
      </c>
      <c r="L8" s="57">
        <v>0</v>
      </c>
      <c r="M8" s="54">
        <v>0</v>
      </c>
      <c r="N8" s="54">
        <v>0</v>
      </c>
      <c r="O8" s="54">
        <v>0</v>
      </c>
      <c r="P8" s="54">
        <v>0</v>
      </c>
      <c r="Q8" s="54">
        <v>0</v>
      </c>
      <c r="R8" s="50">
        <v>0</v>
      </c>
      <c r="S8" s="50">
        <v>1</v>
      </c>
      <c r="T8" s="50">
        <v>1</v>
      </c>
      <c r="U8" s="50">
        <v>0</v>
      </c>
      <c r="V8" s="50"/>
      <c r="W8" s="19">
        <f t="shared" si="0"/>
        <v>2</v>
      </c>
      <c r="X8" s="9"/>
    </row>
    <row r="9" spans="1:24" ht="15.75" customHeight="1" x14ac:dyDescent="0.25">
      <c r="A9" s="9"/>
      <c r="B9" s="18" t="s">
        <v>67</v>
      </c>
      <c r="C9" s="12">
        <v>1</v>
      </c>
      <c r="D9" s="45">
        <v>0</v>
      </c>
      <c r="E9" s="45">
        <v>0</v>
      </c>
      <c r="F9" s="45">
        <v>0</v>
      </c>
      <c r="G9" s="45">
        <v>0</v>
      </c>
      <c r="H9" s="57">
        <v>0</v>
      </c>
      <c r="I9" s="57">
        <v>0</v>
      </c>
      <c r="J9" s="57">
        <v>0</v>
      </c>
      <c r="K9" s="57">
        <v>0</v>
      </c>
      <c r="L9" s="57">
        <v>0</v>
      </c>
      <c r="M9" s="54">
        <v>0</v>
      </c>
      <c r="N9" s="54">
        <v>0</v>
      </c>
      <c r="O9" s="54">
        <v>0</v>
      </c>
      <c r="P9" s="54">
        <v>0</v>
      </c>
      <c r="Q9" s="54">
        <v>0</v>
      </c>
      <c r="R9" s="50">
        <v>0</v>
      </c>
      <c r="S9" s="50">
        <v>0</v>
      </c>
      <c r="T9" s="50">
        <v>0</v>
      </c>
      <c r="U9" s="50">
        <v>1</v>
      </c>
      <c r="V9" s="50">
        <v>0</v>
      </c>
      <c r="W9" s="19">
        <f t="shared" si="0"/>
        <v>1</v>
      </c>
      <c r="X9" s="9"/>
    </row>
    <row r="10" spans="1:24" ht="15.75" customHeight="1" x14ac:dyDescent="0.25">
      <c r="A10" s="9"/>
      <c r="B10" s="18" t="s">
        <v>68</v>
      </c>
      <c r="C10" s="12">
        <v>2</v>
      </c>
      <c r="D10" s="45">
        <v>0</v>
      </c>
      <c r="E10" s="45">
        <v>0</v>
      </c>
      <c r="F10" s="45">
        <v>0</v>
      </c>
      <c r="G10" s="45">
        <v>0</v>
      </c>
      <c r="H10" s="57">
        <v>0</v>
      </c>
      <c r="I10" s="57">
        <v>0</v>
      </c>
      <c r="J10" s="57">
        <v>0</v>
      </c>
      <c r="K10" s="57">
        <v>0</v>
      </c>
      <c r="L10" s="57">
        <v>0</v>
      </c>
      <c r="M10" s="54">
        <v>0</v>
      </c>
      <c r="N10" s="54">
        <v>0</v>
      </c>
      <c r="O10" s="54">
        <v>0</v>
      </c>
      <c r="P10" s="54">
        <v>0</v>
      </c>
      <c r="Q10" s="54">
        <v>0</v>
      </c>
      <c r="R10" s="50">
        <v>0</v>
      </c>
      <c r="S10" s="50">
        <v>0</v>
      </c>
      <c r="T10" s="50">
        <v>1</v>
      </c>
      <c r="U10" s="50">
        <v>0</v>
      </c>
      <c r="V10" s="50">
        <v>1</v>
      </c>
      <c r="W10" s="19">
        <f t="shared" si="0"/>
        <v>2</v>
      </c>
      <c r="X10" s="9"/>
    </row>
    <row r="11" spans="1:24" ht="15.75" customHeight="1" x14ac:dyDescent="0.25">
      <c r="A11" s="9"/>
      <c r="B11" s="18" t="s">
        <v>69</v>
      </c>
      <c r="C11" s="15">
        <v>3</v>
      </c>
      <c r="D11" s="45">
        <v>0</v>
      </c>
      <c r="E11" s="45">
        <v>0</v>
      </c>
      <c r="F11" s="45">
        <v>0</v>
      </c>
      <c r="G11" s="45">
        <v>0</v>
      </c>
      <c r="H11" s="57">
        <v>0</v>
      </c>
      <c r="I11" s="57">
        <v>0</v>
      </c>
      <c r="J11" s="57">
        <v>0</v>
      </c>
      <c r="K11" s="57">
        <v>0</v>
      </c>
      <c r="L11" s="57">
        <v>0</v>
      </c>
      <c r="M11" s="54">
        <v>0</v>
      </c>
      <c r="N11" s="54">
        <v>0</v>
      </c>
      <c r="O11" s="54">
        <v>0</v>
      </c>
      <c r="P11" s="54">
        <v>0</v>
      </c>
      <c r="Q11" s="54">
        <v>0</v>
      </c>
      <c r="R11" s="50">
        <v>0</v>
      </c>
      <c r="S11" s="50">
        <v>0</v>
      </c>
      <c r="T11" s="50">
        <v>1</v>
      </c>
      <c r="U11" s="50">
        <v>1</v>
      </c>
      <c r="V11" s="50">
        <v>0</v>
      </c>
      <c r="W11" s="19">
        <f t="shared" si="0"/>
        <v>2</v>
      </c>
      <c r="X11" s="9"/>
    </row>
    <row r="12" spans="1:24" ht="15.75" customHeight="1" x14ac:dyDescent="0.25">
      <c r="A12" s="9"/>
      <c r="B12" s="18" t="s">
        <v>70</v>
      </c>
      <c r="C12" s="15">
        <v>1</v>
      </c>
      <c r="D12" s="45">
        <v>0</v>
      </c>
      <c r="E12" s="45">
        <v>0</v>
      </c>
      <c r="F12" s="45">
        <v>0</v>
      </c>
      <c r="G12" s="45">
        <v>0</v>
      </c>
      <c r="H12" s="57">
        <v>0</v>
      </c>
      <c r="I12" s="57">
        <v>0</v>
      </c>
      <c r="J12" s="57">
        <v>0</v>
      </c>
      <c r="K12" s="57">
        <v>0</v>
      </c>
      <c r="L12" s="57">
        <v>0</v>
      </c>
      <c r="M12" s="54">
        <v>0</v>
      </c>
      <c r="N12" s="54">
        <v>0</v>
      </c>
      <c r="O12" s="54">
        <v>0</v>
      </c>
      <c r="P12" s="54">
        <v>0</v>
      </c>
      <c r="Q12" s="54">
        <v>0</v>
      </c>
      <c r="R12" s="50">
        <v>0</v>
      </c>
      <c r="S12" s="50">
        <v>1</v>
      </c>
      <c r="T12" s="50">
        <v>0</v>
      </c>
      <c r="U12" s="50">
        <v>0</v>
      </c>
      <c r="V12" s="50">
        <v>0</v>
      </c>
      <c r="W12" s="19">
        <f t="shared" si="0"/>
        <v>1</v>
      </c>
      <c r="X12" s="9"/>
    </row>
    <row r="13" spans="1:24" ht="15.75" customHeight="1" x14ac:dyDescent="0.25">
      <c r="A13" s="9"/>
      <c r="B13" s="18" t="s">
        <v>71</v>
      </c>
      <c r="C13" s="15">
        <v>1</v>
      </c>
      <c r="D13" s="45">
        <v>0</v>
      </c>
      <c r="E13" s="45">
        <v>0</v>
      </c>
      <c r="F13" s="45">
        <v>0</v>
      </c>
      <c r="G13" s="45">
        <v>0</v>
      </c>
      <c r="H13" s="57">
        <v>0</v>
      </c>
      <c r="I13" s="57">
        <v>0</v>
      </c>
      <c r="J13" s="57">
        <v>0</v>
      </c>
      <c r="K13" s="57">
        <v>0</v>
      </c>
      <c r="L13" s="57">
        <v>0</v>
      </c>
      <c r="M13" s="54">
        <v>0</v>
      </c>
      <c r="N13" s="54">
        <v>0</v>
      </c>
      <c r="O13" s="54">
        <v>0</v>
      </c>
      <c r="P13" s="54">
        <v>0</v>
      </c>
      <c r="Q13" s="54">
        <v>0</v>
      </c>
      <c r="R13" s="50">
        <v>0</v>
      </c>
      <c r="S13" s="50">
        <v>1</v>
      </c>
      <c r="T13" s="50">
        <v>0</v>
      </c>
      <c r="U13" s="50">
        <v>1</v>
      </c>
      <c r="V13" s="50">
        <v>0</v>
      </c>
      <c r="W13" s="19">
        <f t="shared" si="0"/>
        <v>2</v>
      </c>
      <c r="X13" s="9"/>
    </row>
    <row r="14" spans="1:24" ht="15.75" customHeight="1" x14ac:dyDescent="0.25">
      <c r="A14" s="9"/>
      <c r="B14" s="18" t="s">
        <v>72</v>
      </c>
      <c r="C14" s="15">
        <v>2</v>
      </c>
      <c r="D14" s="45">
        <v>0</v>
      </c>
      <c r="E14" s="45">
        <v>0</v>
      </c>
      <c r="F14" s="45">
        <v>0</v>
      </c>
      <c r="G14" s="45">
        <v>0</v>
      </c>
      <c r="H14" s="57">
        <v>0</v>
      </c>
      <c r="I14" s="57">
        <v>0</v>
      </c>
      <c r="J14" s="57">
        <v>0</v>
      </c>
      <c r="K14" s="57">
        <v>0</v>
      </c>
      <c r="L14" s="57">
        <v>0</v>
      </c>
      <c r="M14" s="54">
        <v>0</v>
      </c>
      <c r="N14" s="54">
        <v>0</v>
      </c>
      <c r="O14" s="54">
        <v>0</v>
      </c>
      <c r="P14" s="54">
        <v>0</v>
      </c>
      <c r="Q14" s="54">
        <v>0</v>
      </c>
      <c r="R14" s="50">
        <v>0</v>
      </c>
      <c r="S14" s="50">
        <v>1</v>
      </c>
      <c r="T14" s="50">
        <v>0</v>
      </c>
      <c r="U14" s="50">
        <v>1</v>
      </c>
      <c r="V14" s="50">
        <v>0</v>
      </c>
      <c r="W14" s="19">
        <f t="shared" si="0"/>
        <v>2</v>
      </c>
      <c r="X14" s="9"/>
    </row>
    <row r="15" spans="1:24" ht="15.75" customHeight="1" x14ac:dyDescent="0.25">
      <c r="A15" s="9"/>
      <c r="B15" s="18" t="s">
        <v>73</v>
      </c>
      <c r="C15" s="15">
        <v>2</v>
      </c>
      <c r="D15" s="45">
        <v>0</v>
      </c>
      <c r="E15" s="45">
        <v>0</v>
      </c>
      <c r="F15" s="45">
        <v>0</v>
      </c>
      <c r="G15" s="45">
        <v>0</v>
      </c>
      <c r="H15" s="57">
        <v>0</v>
      </c>
      <c r="I15" s="57">
        <v>0</v>
      </c>
      <c r="J15" s="57">
        <v>0</v>
      </c>
      <c r="K15" s="57">
        <v>0</v>
      </c>
      <c r="L15" s="57">
        <v>0</v>
      </c>
      <c r="M15" s="54">
        <v>0</v>
      </c>
      <c r="N15" s="54">
        <v>0</v>
      </c>
      <c r="O15" s="54">
        <v>0</v>
      </c>
      <c r="P15" s="54">
        <v>0</v>
      </c>
      <c r="Q15" s="54">
        <v>0</v>
      </c>
      <c r="R15" s="50">
        <v>0</v>
      </c>
      <c r="S15" s="50">
        <v>0</v>
      </c>
      <c r="T15" s="50">
        <v>1</v>
      </c>
      <c r="U15" s="50">
        <v>0</v>
      </c>
      <c r="V15" s="50">
        <v>0</v>
      </c>
      <c r="W15" s="19">
        <f t="shared" si="0"/>
        <v>1</v>
      </c>
      <c r="X15" s="9"/>
    </row>
    <row r="16" spans="1:24" ht="15.75" customHeight="1" x14ac:dyDescent="0.25">
      <c r="A16" s="9"/>
      <c r="B16" s="18" t="s">
        <v>74</v>
      </c>
      <c r="C16" s="15">
        <v>2</v>
      </c>
      <c r="D16" s="45">
        <v>0</v>
      </c>
      <c r="E16" s="45">
        <v>0</v>
      </c>
      <c r="F16" s="45">
        <v>0</v>
      </c>
      <c r="G16" s="45">
        <v>0</v>
      </c>
      <c r="H16" s="57">
        <v>0</v>
      </c>
      <c r="I16" s="57">
        <v>0</v>
      </c>
      <c r="J16" s="57">
        <v>0</v>
      </c>
      <c r="K16" s="57">
        <v>0</v>
      </c>
      <c r="L16" s="57">
        <v>0</v>
      </c>
      <c r="M16" s="54">
        <v>0</v>
      </c>
      <c r="N16" s="54">
        <v>0</v>
      </c>
      <c r="O16" s="54">
        <v>0</v>
      </c>
      <c r="P16" s="54">
        <v>0</v>
      </c>
      <c r="Q16" s="54">
        <v>0</v>
      </c>
      <c r="R16" s="50">
        <v>1</v>
      </c>
      <c r="S16" s="50">
        <v>0</v>
      </c>
      <c r="T16" s="50">
        <v>1</v>
      </c>
      <c r="U16" s="50">
        <v>0</v>
      </c>
      <c r="V16" s="50">
        <v>0</v>
      </c>
      <c r="W16" s="19">
        <f t="shared" si="0"/>
        <v>2</v>
      </c>
      <c r="X16" s="9"/>
    </row>
    <row r="17" spans="1:24" ht="15.75" customHeight="1" thickBot="1" x14ac:dyDescent="0.3">
      <c r="A17" s="9"/>
      <c r="B17" s="75" t="s">
        <v>75</v>
      </c>
      <c r="C17" s="76">
        <v>1</v>
      </c>
      <c r="D17" s="77">
        <v>0</v>
      </c>
      <c r="E17" s="77">
        <v>0</v>
      </c>
      <c r="F17" s="77">
        <v>0</v>
      </c>
      <c r="G17" s="77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9">
        <v>0</v>
      </c>
      <c r="N17" s="79">
        <v>0</v>
      </c>
      <c r="O17" s="79">
        <v>0</v>
      </c>
      <c r="P17" s="79">
        <v>0</v>
      </c>
      <c r="Q17" s="79">
        <v>0</v>
      </c>
      <c r="R17" s="80">
        <v>0</v>
      </c>
      <c r="S17" s="80">
        <v>1</v>
      </c>
      <c r="T17" s="80">
        <v>0</v>
      </c>
      <c r="U17" s="80">
        <v>0</v>
      </c>
      <c r="V17" s="80">
        <v>0</v>
      </c>
      <c r="W17" s="81">
        <f t="shared" si="0"/>
        <v>1</v>
      </c>
      <c r="X17" s="9"/>
    </row>
    <row r="18" spans="1:24" ht="15.75" customHeight="1" x14ac:dyDescent="0.25">
      <c r="A18" s="9"/>
      <c r="B18" s="68" t="s">
        <v>95</v>
      </c>
      <c r="C18" s="83">
        <v>2</v>
      </c>
      <c r="D18" s="84">
        <v>0</v>
      </c>
      <c r="E18" s="84">
        <v>0</v>
      </c>
      <c r="F18" s="84">
        <v>0</v>
      </c>
      <c r="G18" s="84">
        <v>0</v>
      </c>
      <c r="H18" s="85">
        <v>0</v>
      </c>
      <c r="I18" s="85">
        <v>0</v>
      </c>
      <c r="J18" s="85">
        <v>0</v>
      </c>
      <c r="K18" s="85">
        <v>0</v>
      </c>
      <c r="L18" s="85">
        <v>0</v>
      </c>
      <c r="M18" s="72">
        <v>0</v>
      </c>
      <c r="N18" s="72">
        <v>0</v>
      </c>
      <c r="O18" s="72">
        <v>0</v>
      </c>
      <c r="P18" s="72">
        <v>1</v>
      </c>
      <c r="Q18" s="72">
        <v>1</v>
      </c>
      <c r="R18" s="86">
        <v>0</v>
      </c>
      <c r="S18" s="86">
        <v>0</v>
      </c>
      <c r="T18" s="86">
        <v>0</v>
      </c>
      <c r="U18" s="86">
        <v>0</v>
      </c>
      <c r="V18" s="86">
        <v>0</v>
      </c>
      <c r="W18" s="74">
        <f>SUM(M18:Q18)</f>
        <v>2</v>
      </c>
      <c r="X18" s="9"/>
    </row>
    <row r="19" spans="1:24" ht="15.75" customHeight="1" x14ac:dyDescent="0.25">
      <c r="A19" s="9"/>
      <c r="B19" s="18" t="s">
        <v>83</v>
      </c>
      <c r="C19" s="14">
        <v>2</v>
      </c>
      <c r="D19" s="45">
        <v>0</v>
      </c>
      <c r="E19" s="45">
        <v>0</v>
      </c>
      <c r="F19" s="45">
        <v>0</v>
      </c>
      <c r="G19" s="45">
        <v>0</v>
      </c>
      <c r="H19" s="57">
        <v>0</v>
      </c>
      <c r="I19" s="57">
        <v>0</v>
      </c>
      <c r="J19" s="57">
        <v>0</v>
      </c>
      <c r="K19" s="57">
        <v>0</v>
      </c>
      <c r="L19" s="57">
        <v>0</v>
      </c>
      <c r="M19" s="53">
        <v>0</v>
      </c>
      <c r="N19" s="53">
        <v>0</v>
      </c>
      <c r="O19" s="53">
        <v>1</v>
      </c>
      <c r="P19" s="53">
        <v>1</v>
      </c>
      <c r="Q19" s="53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19">
        <f t="shared" ref="W19:W26" si="1">SUM(M19:Q19)</f>
        <v>2</v>
      </c>
      <c r="X19" s="9"/>
    </row>
    <row r="20" spans="1:24" ht="15.75" customHeight="1" x14ac:dyDescent="0.25">
      <c r="A20" s="9"/>
      <c r="B20" s="18" t="s">
        <v>84</v>
      </c>
      <c r="C20" s="14">
        <v>2</v>
      </c>
      <c r="D20" s="45">
        <v>0</v>
      </c>
      <c r="E20" s="45">
        <v>0</v>
      </c>
      <c r="F20" s="45">
        <v>0</v>
      </c>
      <c r="G20" s="45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3">
        <v>0</v>
      </c>
      <c r="N20" s="53">
        <v>1</v>
      </c>
      <c r="O20" s="53">
        <v>1</v>
      </c>
      <c r="P20" s="53">
        <v>0</v>
      </c>
      <c r="Q20" s="53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19">
        <f t="shared" si="1"/>
        <v>2</v>
      </c>
      <c r="X20" s="9"/>
    </row>
    <row r="21" spans="1:24" ht="15.75" customHeight="1" x14ac:dyDescent="0.25">
      <c r="A21" s="9"/>
      <c r="B21" s="18" t="s">
        <v>85</v>
      </c>
      <c r="C21" s="17">
        <v>1</v>
      </c>
      <c r="D21" s="45">
        <v>0</v>
      </c>
      <c r="E21" s="45">
        <v>0</v>
      </c>
      <c r="F21" s="45">
        <v>0</v>
      </c>
      <c r="G21" s="45">
        <v>0</v>
      </c>
      <c r="H21" s="57">
        <v>0</v>
      </c>
      <c r="I21" s="57">
        <v>0</v>
      </c>
      <c r="J21" s="57">
        <v>0</v>
      </c>
      <c r="K21" s="57">
        <v>0</v>
      </c>
      <c r="L21" s="57">
        <v>0</v>
      </c>
      <c r="M21" s="53">
        <v>0</v>
      </c>
      <c r="N21" s="53">
        <v>0</v>
      </c>
      <c r="O21" s="53">
        <v>1</v>
      </c>
      <c r="P21" s="53">
        <v>0</v>
      </c>
      <c r="Q21" s="53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19">
        <f t="shared" si="1"/>
        <v>1</v>
      </c>
      <c r="X21" s="9"/>
    </row>
    <row r="22" spans="1:24" ht="15.75" customHeight="1" x14ac:dyDescent="0.25">
      <c r="A22" s="9"/>
      <c r="B22" s="18" t="s">
        <v>149</v>
      </c>
      <c r="C22" s="17">
        <v>1</v>
      </c>
      <c r="D22" s="45">
        <v>0</v>
      </c>
      <c r="E22" s="45">
        <v>0</v>
      </c>
      <c r="F22" s="45">
        <v>0</v>
      </c>
      <c r="G22" s="45">
        <v>0</v>
      </c>
      <c r="H22" s="57">
        <v>0</v>
      </c>
      <c r="I22" s="57">
        <v>0</v>
      </c>
      <c r="J22" s="57">
        <v>0</v>
      </c>
      <c r="K22" s="57">
        <v>0</v>
      </c>
      <c r="L22" s="57">
        <v>0</v>
      </c>
      <c r="M22" s="53">
        <v>0</v>
      </c>
      <c r="N22" s="53">
        <v>0</v>
      </c>
      <c r="O22" s="53">
        <v>1</v>
      </c>
      <c r="P22" s="53">
        <v>0</v>
      </c>
      <c r="Q22" s="53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19">
        <f t="shared" si="1"/>
        <v>1</v>
      </c>
      <c r="X22" s="9"/>
    </row>
    <row r="23" spans="1:24" ht="15.75" customHeight="1" x14ac:dyDescent="0.25">
      <c r="A23" s="9"/>
      <c r="B23" s="18" t="s">
        <v>86</v>
      </c>
      <c r="C23" s="17">
        <v>2</v>
      </c>
      <c r="D23" s="45">
        <v>0</v>
      </c>
      <c r="E23" s="45">
        <v>0</v>
      </c>
      <c r="F23" s="45">
        <v>0</v>
      </c>
      <c r="G23" s="45">
        <v>0</v>
      </c>
      <c r="H23" s="57">
        <v>0</v>
      </c>
      <c r="I23" s="57">
        <v>0</v>
      </c>
      <c r="J23" s="57">
        <v>0</v>
      </c>
      <c r="K23" s="57">
        <v>0</v>
      </c>
      <c r="L23" s="57">
        <v>0</v>
      </c>
      <c r="M23" s="53">
        <v>0</v>
      </c>
      <c r="N23" s="53">
        <v>1</v>
      </c>
      <c r="O23" s="53">
        <v>0</v>
      </c>
      <c r="P23" s="53">
        <v>0</v>
      </c>
      <c r="Q23" s="53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19">
        <f t="shared" si="1"/>
        <v>1</v>
      </c>
      <c r="X23" s="9"/>
    </row>
    <row r="24" spans="1:24" ht="15.75" customHeight="1" x14ac:dyDescent="0.25">
      <c r="A24" s="9"/>
      <c r="B24" s="18" t="s">
        <v>87</v>
      </c>
      <c r="C24" s="17">
        <v>2</v>
      </c>
      <c r="D24" s="45">
        <v>0</v>
      </c>
      <c r="E24" s="45">
        <v>0</v>
      </c>
      <c r="F24" s="45">
        <v>0</v>
      </c>
      <c r="G24" s="45">
        <v>0</v>
      </c>
      <c r="H24" s="57">
        <v>0</v>
      </c>
      <c r="I24" s="57">
        <v>0</v>
      </c>
      <c r="J24" s="57">
        <v>0</v>
      </c>
      <c r="K24" s="57">
        <v>0</v>
      </c>
      <c r="L24" s="57">
        <v>0</v>
      </c>
      <c r="M24" s="53">
        <v>0</v>
      </c>
      <c r="N24" s="53">
        <v>1</v>
      </c>
      <c r="O24" s="53">
        <v>1</v>
      </c>
      <c r="P24" s="53">
        <v>0</v>
      </c>
      <c r="Q24" s="53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19">
        <f t="shared" si="1"/>
        <v>2</v>
      </c>
      <c r="X24" s="9"/>
    </row>
    <row r="25" spans="1:24" ht="15.75" customHeight="1" x14ac:dyDescent="0.25">
      <c r="A25" s="9"/>
      <c r="B25" s="18" t="s">
        <v>88</v>
      </c>
      <c r="C25" s="17">
        <v>2</v>
      </c>
      <c r="D25" s="45">
        <v>0</v>
      </c>
      <c r="E25" s="45">
        <v>0</v>
      </c>
      <c r="F25" s="45">
        <v>0</v>
      </c>
      <c r="G25" s="45">
        <v>0</v>
      </c>
      <c r="H25" s="57">
        <v>0</v>
      </c>
      <c r="I25" s="57">
        <v>0</v>
      </c>
      <c r="J25" s="57">
        <v>0</v>
      </c>
      <c r="K25" s="57">
        <v>0</v>
      </c>
      <c r="L25" s="57">
        <v>0</v>
      </c>
      <c r="M25" s="53">
        <v>0</v>
      </c>
      <c r="N25" s="53">
        <v>1</v>
      </c>
      <c r="O25" s="53">
        <v>1</v>
      </c>
      <c r="P25" s="53">
        <v>0</v>
      </c>
      <c r="Q25" s="53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19">
        <f>SUM(burdonchart!M25:Q25)</f>
        <v>2</v>
      </c>
      <c r="X25" s="9"/>
    </row>
    <row r="26" spans="1:24" ht="15.75" customHeight="1" thickBot="1" x14ac:dyDescent="0.3">
      <c r="A26" s="9"/>
      <c r="B26" s="75" t="s">
        <v>89</v>
      </c>
      <c r="C26" s="87">
        <v>1</v>
      </c>
      <c r="D26" s="88">
        <v>0</v>
      </c>
      <c r="E26" s="88">
        <v>0</v>
      </c>
      <c r="F26" s="88">
        <v>0</v>
      </c>
      <c r="G26" s="88">
        <v>0</v>
      </c>
      <c r="H26" s="89">
        <v>0</v>
      </c>
      <c r="I26" s="90">
        <v>0</v>
      </c>
      <c r="J26" s="90">
        <v>0</v>
      </c>
      <c r="K26" s="57">
        <v>0</v>
      </c>
      <c r="L26" s="57">
        <v>0</v>
      </c>
      <c r="M26" s="91">
        <v>1</v>
      </c>
      <c r="N26" s="91">
        <v>0</v>
      </c>
      <c r="O26" s="91">
        <v>0</v>
      </c>
      <c r="P26" s="91">
        <v>0</v>
      </c>
      <c r="Q26" s="91">
        <v>0</v>
      </c>
      <c r="R26" s="92">
        <v>0</v>
      </c>
      <c r="S26" s="92">
        <v>0</v>
      </c>
      <c r="T26" s="92">
        <v>0</v>
      </c>
      <c r="U26" s="92">
        <v>0</v>
      </c>
      <c r="V26" s="92">
        <v>0</v>
      </c>
      <c r="W26" s="81">
        <f t="shared" si="1"/>
        <v>1</v>
      </c>
      <c r="X26" s="9"/>
    </row>
    <row r="27" spans="1:24" ht="15.75" customHeight="1" thickBot="1" x14ac:dyDescent="0.3">
      <c r="A27" s="9"/>
      <c r="B27" s="68" t="s">
        <v>97</v>
      </c>
      <c r="C27" s="94">
        <v>2</v>
      </c>
      <c r="D27" s="70">
        <v>0</v>
      </c>
      <c r="E27" s="70">
        <v>0</v>
      </c>
      <c r="F27" s="70">
        <v>0</v>
      </c>
      <c r="G27" s="70">
        <v>0</v>
      </c>
      <c r="H27" s="73">
        <v>0</v>
      </c>
      <c r="I27" s="73">
        <v>0</v>
      </c>
      <c r="J27" s="73">
        <v>0</v>
      </c>
      <c r="K27" s="73">
        <v>1</v>
      </c>
      <c r="L27" s="73">
        <v>1</v>
      </c>
      <c r="M27" s="95">
        <v>0</v>
      </c>
      <c r="N27" s="95">
        <v>0</v>
      </c>
      <c r="O27" s="95">
        <v>0</v>
      </c>
      <c r="P27" s="95">
        <v>0</v>
      </c>
      <c r="Q27" s="95">
        <v>0</v>
      </c>
      <c r="R27" s="96">
        <v>0</v>
      </c>
      <c r="S27" s="96">
        <v>0</v>
      </c>
      <c r="T27" s="96">
        <v>0</v>
      </c>
      <c r="U27" s="96">
        <v>0</v>
      </c>
      <c r="V27" s="92">
        <v>0</v>
      </c>
      <c r="W27" s="74">
        <f>SUM(H27:L27)</f>
        <v>2</v>
      </c>
      <c r="X27" s="9"/>
    </row>
    <row r="28" spans="1:24" ht="15.75" customHeight="1" thickBot="1" x14ac:dyDescent="0.3">
      <c r="A28" s="9"/>
      <c r="B28" s="18" t="s">
        <v>90</v>
      </c>
      <c r="C28" s="17">
        <v>2</v>
      </c>
      <c r="D28" s="13">
        <v>0</v>
      </c>
      <c r="E28" s="13">
        <v>0</v>
      </c>
      <c r="F28" s="13">
        <v>0</v>
      </c>
      <c r="G28" s="13">
        <v>0</v>
      </c>
      <c r="H28" s="73">
        <v>0</v>
      </c>
      <c r="I28" s="73">
        <v>0</v>
      </c>
      <c r="J28" s="73">
        <v>1</v>
      </c>
      <c r="K28" s="50">
        <v>1</v>
      </c>
      <c r="L28" s="71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2">
        <v>0</v>
      </c>
      <c r="S28" s="52">
        <v>0</v>
      </c>
      <c r="T28" s="52">
        <v>0</v>
      </c>
      <c r="U28" s="52">
        <v>0</v>
      </c>
      <c r="V28" s="92">
        <v>0</v>
      </c>
      <c r="W28" s="19">
        <f t="shared" ref="W28:W33" si="2">SUM(H28:L28)</f>
        <v>2</v>
      </c>
      <c r="X28" s="9"/>
    </row>
    <row r="29" spans="1:24" ht="15.75" customHeight="1" thickBot="1" x14ac:dyDescent="0.3">
      <c r="A29" s="9"/>
      <c r="B29" s="18" t="s">
        <v>174</v>
      </c>
      <c r="C29" s="17">
        <v>1</v>
      </c>
      <c r="D29" s="16">
        <v>0</v>
      </c>
      <c r="E29" s="16">
        <v>0</v>
      </c>
      <c r="F29" s="16">
        <v>0</v>
      </c>
      <c r="G29" s="16">
        <v>0</v>
      </c>
      <c r="H29" s="73">
        <v>0</v>
      </c>
      <c r="I29" s="73">
        <v>0</v>
      </c>
      <c r="J29" s="73">
        <v>1</v>
      </c>
      <c r="K29" s="71">
        <v>0</v>
      </c>
      <c r="L29" s="71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2">
        <v>0</v>
      </c>
      <c r="S29" s="52">
        <v>0</v>
      </c>
      <c r="T29" s="52">
        <v>0</v>
      </c>
      <c r="U29" s="52">
        <v>0</v>
      </c>
      <c r="V29" s="92">
        <v>0</v>
      </c>
      <c r="W29" s="19">
        <f t="shared" si="2"/>
        <v>1</v>
      </c>
      <c r="X29" s="9"/>
    </row>
    <row r="30" spans="1:24" ht="15.75" customHeight="1" thickBot="1" x14ac:dyDescent="0.3">
      <c r="A30" s="9"/>
      <c r="B30" s="18" t="s">
        <v>175</v>
      </c>
      <c r="C30" s="17">
        <v>1</v>
      </c>
      <c r="D30" s="70">
        <v>0</v>
      </c>
      <c r="E30" s="70">
        <v>0</v>
      </c>
      <c r="F30" s="70">
        <v>0</v>
      </c>
      <c r="G30" s="70">
        <v>0</v>
      </c>
      <c r="H30" s="73">
        <v>0</v>
      </c>
      <c r="I30" s="73">
        <v>1</v>
      </c>
      <c r="J30" s="73">
        <v>0</v>
      </c>
      <c r="K30" s="71">
        <v>0</v>
      </c>
      <c r="L30" s="71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2">
        <v>0</v>
      </c>
      <c r="S30" s="52">
        <v>0</v>
      </c>
      <c r="T30" s="52">
        <v>0</v>
      </c>
      <c r="U30" s="52">
        <v>0</v>
      </c>
      <c r="V30" s="92">
        <v>0</v>
      </c>
      <c r="W30" s="19">
        <f>SUM(H30:L30)</f>
        <v>1</v>
      </c>
      <c r="X30" s="9"/>
    </row>
    <row r="31" spans="1:24" ht="15.75" customHeight="1" thickBot="1" x14ac:dyDescent="0.3">
      <c r="A31" s="9"/>
      <c r="B31" s="18" t="s">
        <v>91</v>
      </c>
      <c r="C31" s="17">
        <v>1</v>
      </c>
      <c r="D31" s="13">
        <v>0</v>
      </c>
      <c r="E31" s="13">
        <v>0</v>
      </c>
      <c r="F31" s="13">
        <v>0</v>
      </c>
      <c r="G31" s="13">
        <v>0</v>
      </c>
      <c r="H31" s="73">
        <v>0</v>
      </c>
      <c r="I31" s="73">
        <v>0</v>
      </c>
      <c r="J31" s="73">
        <v>0</v>
      </c>
      <c r="K31" s="71">
        <v>0</v>
      </c>
      <c r="L31" s="71">
        <v>1</v>
      </c>
      <c r="M31" s="55">
        <v>0</v>
      </c>
      <c r="N31" s="55">
        <v>0</v>
      </c>
      <c r="O31" s="55">
        <v>0</v>
      </c>
      <c r="P31" s="55">
        <v>0</v>
      </c>
      <c r="Q31" s="55">
        <v>0</v>
      </c>
      <c r="R31" s="52">
        <v>0</v>
      </c>
      <c r="S31" s="52">
        <v>0</v>
      </c>
      <c r="T31" s="52">
        <v>0</v>
      </c>
      <c r="U31" s="52">
        <v>0</v>
      </c>
      <c r="V31" s="92">
        <v>0</v>
      </c>
      <c r="W31" s="19">
        <f t="shared" si="2"/>
        <v>1</v>
      </c>
      <c r="X31" s="9"/>
    </row>
    <row r="32" spans="1:24" ht="15.75" customHeight="1" thickBot="1" x14ac:dyDescent="0.3">
      <c r="A32" s="9"/>
      <c r="B32" s="18" t="s">
        <v>92</v>
      </c>
      <c r="C32" s="17">
        <v>2</v>
      </c>
      <c r="D32" s="16">
        <v>0</v>
      </c>
      <c r="E32" s="16">
        <v>0</v>
      </c>
      <c r="F32" s="16">
        <v>0</v>
      </c>
      <c r="G32" s="16">
        <v>0</v>
      </c>
      <c r="H32" s="73">
        <v>0</v>
      </c>
      <c r="I32" s="73">
        <v>1</v>
      </c>
      <c r="J32" s="73">
        <v>0</v>
      </c>
      <c r="K32" s="71">
        <v>1</v>
      </c>
      <c r="L32" s="71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2">
        <v>0</v>
      </c>
      <c r="S32" s="52">
        <v>0</v>
      </c>
      <c r="T32" s="52">
        <v>0</v>
      </c>
      <c r="U32" s="52">
        <v>0</v>
      </c>
      <c r="V32" s="92">
        <v>0</v>
      </c>
      <c r="W32" s="19">
        <f t="shared" si="2"/>
        <v>2</v>
      </c>
      <c r="X32" s="9"/>
    </row>
    <row r="33" spans="1:24" ht="15.75" customHeight="1" thickBot="1" x14ac:dyDescent="0.3">
      <c r="A33" s="9"/>
      <c r="B33" s="18" t="s">
        <v>176</v>
      </c>
      <c r="C33" s="17">
        <v>1</v>
      </c>
      <c r="D33" s="70">
        <v>0</v>
      </c>
      <c r="E33" s="70">
        <v>0</v>
      </c>
      <c r="F33" s="70">
        <v>0</v>
      </c>
      <c r="G33" s="70">
        <v>0</v>
      </c>
      <c r="H33" s="73">
        <v>0</v>
      </c>
      <c r="I33" s="97">
        <v>0</v>
      </c>
      <c r="J33" s="73">
        <v>0</v>
      </c>
      <c r="K33" s="73">
        <v>0</v>
      </c>
      <c r="L33" s="71">
        <v>1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2">
        <v>0</v>
      </c>
      <c r="S33" s="52">
        <v>0</v>
      </c>
      <c r="T33" s="52">
        <v>0</v>
      </c>
      <c r="U33" s="52">
        <v>0</v>
      </c>
      <c r="V33" s="92">
        <v>0</v>
      </c>
      <c r="W33" s="19">
        <f t="shared" si="2"/>
        <v>1</v>
      </c>
      <c r="X33" s="9"/>
    </row>
    <row r="34" spans="1:24" ht="15.75" customHeight="1" thickBot="1" x14ac:dyDescent="0.3">
      <c r="A34" s="9"/>
      <c r="B34" s="75" t="s">
        <v>177</v>
      </c>
      <c r="C34" s="87">
        <v>2</v>
      </c>
      <c r="D34" s="13">
        <v>0</v>
      </c>
      <c r="E34" s="70">
        <v>0</v>
      </c>
      <c r="F34" s="70">
        <v>0</v>
      </c>
      <c r="G34" s="13">
        <v>0</v>
      </c>
      <c r="H34" s="73">
        <v>1</v>
      </c>
      <c r="I34" s="71">
        <v>1</v>
      </c>
      <c r="J34" s="73">
        <v>0</v>
      </c>
      <c r="K34" s="73">
        <v>0</v>
      </c>
      <c r="L34" s="71">
        <v>0</v>
      </c>
      <c r="M34" s="95">
        <v>0</v>
      </c>
      <c r="N34" s="95">
        <v>0</v>
      </c>
      <c r="O34" s="95">
        <v>0</v>
      </c>
      <c r="P34" s="95">
        <v>0</v>
      </c>
      <c r="Q34" s="95">
        <v>0</v>
      </c>
      <c r="R34" s="52">
        <v>0</v>
      </c>
      <c r="S34" s="52">
        <v>0</v>
      </c>
      <c r="T34" s="52">
        <v>0</v>
      </c>
      <c r="U34" s="52">
        <v>0</v>
      </c>
      <c r="V34" s="92">
        <v>0</v>
      </c>
      <c r="W34" s="81">
        <f>SUM(H34:L34)</f>
        <v>2</v>
      </c>
      <c r="X34" s="9"/>
    </row>
    <row r="35" spans="1:24" ht="15.75" customHeight="1" thickBot="1" x14ac:dyDescent="0.3">
      <c r="A35" s="9"/>
      <c r="B35" s="66" t="s">
        <v>178</v>
      </c>
      <c r="C35" s="82">
        <v>1</v>
      </c>
      <c r="D35" s="93">
        <v>0</v>
      </c>
      <c r="E35" s="70">
        <v>0</v>
      </c>
      <c r="F35" s="70">
        <v>0</v>
      </c>
      <c r="G35" s="93">
        <v>1</v>
      </c>
      <c r="H35" s="73">
        <v>0</v>
      </c>
      <c r="I35" s="73">
        <v>0</v>
      </c>
      <c r="J35" s="73">
        <v>0</v>
      </c>
      <c r="K35" s="73">
        <v>0</v>
      </c>
      <c r="L35" s="73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73">
        <v>0</v>
      </c>
      <c r="S35" s="73">
        <v>0</v>
      </c>
      <c r="T35" s="73">
        <v>0</v>
      </c>
      <c r="U35" s="73">
        <v>0</v>
      </c>
      <c r="V35" s="92">
        <v>0</v>
      </c>
      <c r="W35" s="67">
        <f>SUM(D35:G35)</f>
        <v>1</v>
      </c>
      <c r="X35" s="9"/>
    </row>
    <row r="36" spans="1:24" ht="15.75" customHeight="1" thickBot="1" x14ac:dyDescent="0.3">
      <c r="A36" s="9"/>
      <c r="B36" s="18" t="s">
        <v>185</v>
      </c>
      <c r="C36" s="17">
        <v>2</v>
      </c>
      <c r="D36" s="16">
        <v>0</v>
      </c>
      <c r="E36" s="16">
        <v>1</v>
      </c>
      <c r="F36" s="16">
        <v>1</v>
      </c>
      <c r="G36" s="16">
        <v>0</v>
      </c>
      <c r="H36" s="73">
        <v>0</v>
      </c>
      <c r="I36" s="73">
        <v>0</v>
      </c>
      <c r="J36" s="73">
        <v>0</v>
      </c>
      <c r="K36" s="73">
        <v>0</v>
      </c>
      <c r="L36" s="73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73">
        <v>0</v>
      </c>
      <c r="S36" s="73">
        <v>0</v>
      </c>
      <c r="T36" s="73">
        <v>0</v>
      </c>
      <c r="U36" s="73">
        <v>0</v>
      </c>
      <c r="V36" s="92">
        <v>0</v>
      </c>
      <c r="W36" s="19">
        <f t="shared" ref="W36:W38" si="3">SUM(D36:G36)</f>
        <v>2</v>
      </c>
      <c r="X36" s="9"/>
    </row>
    <row r="37" spans="1:24" ht="15.75" customHeight="1" thickBot="1" x14ac:dyDescent="0.3">
      <c r="A37" s="9"/>
      <c r="B37" s="18" t="s">
        <v>187</v>
      </c>
      <c r="C37" s="17">
        <v>1</v>
      </c>
      <c r="D37" s="16">
        <v>0</v>
      </c>
      <c r="E37" s="16">
        <v>0</v>
      </c>
      <c r="F37" s="16">
        <v>0</v>
      </c>
      <c r="G37" s="16">
        <v>1</v>
      </c>
      <c r="H37" s="73">
        <v>0</v>
      </c>
      <c r="I37" s="73">
        <v>0</v>
      </c>
      <c r="J37" s="73">
        <v>0</v>
      </c>
      <c r="K37" s="73">
        <v>0</v>
      </c>
      <c r="L37" s="73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73">
        <v>0</v>
      </c>
      <c r="S37" s="73">
        <v>0</v>
      </c>
      <c r="T37" s="73">
        <v>0</v>
      </c>
      <c r="U37" s="73">
        <v>0</v>
      </c>
      <c r="V37" s="92">
        <v>0</v>
      </c>
      <c r="W37" s="19">
        <f t="shared" si="3"/>
        <v>1</v>
      </c>
      <c r="X37" s="9"/>
    </row>
    <row r="38" spans="1:24" ht="15.75" customHeight="1" x14ac:dyDescent="0.25">
      <c r="A38" s="9"/>
      <c r="B38" s="18" t="s">
        <v>188</v>
      </c>
      <c r="C38" s="17">
        <v>2</v>
      </c>
      <c r="D38" s="16">
        <v>0</v>
      </c>
      <c r="E38" s="16">
        <v>1</v>
      </c>
      <c r="F38" s="16">
        <v>1</v>
      </c>
      <c r="G38" s="16">
        <v>0</v>
      </c>
      <c r="H38" s="73">
        <v>0</v>
      </c>
      <c r="I38" s="73">
        <v>0</v>
      </c>
      <c r="J38" s="73">
        <v>0</v>
      </c>
      <c r="K38" s="73">
        <v>0</v>
      </c>
      <c r="L38" s="73">
        <v>0</v>
      </c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19">
        <f t="shared" si="3"/>
        <v>2</v>
      </c>
      <c r="X38" s="9"/>
    </row>
    <row r="39" spans="1:24" ht="15.75" customHeight="1" x14ac:dyDescent="0.25">
      <c r="B39" s="20" t="s">
        <v>93</v>
      </c>
      <c r="C39" s="10">
        <f>SUM(C4:C38)</f>
        <v>55</v>
      </c>
      <c r="D39" s="10">
        <f>C39-SUM(D4:D38)</f>
        <v>55</v>
      </c>
      <c r="E39" s="10">
        <f t="shared" ref="E39:V39" si="4">D39-SUM(E4:E38)</f>
        <v>53</v>
      </c>
      <c r="F39" s="10">
        <f t="shared" si="4"/>
        <v>51</v>
      </c>
      <c r="G39" s="10">
        <f t="shared" si="4"/>
        <v>49</v>
      </c>
      <c r="H39" s="10">
        <f t="shared" si="4"/>
        <v>48</v>
      </c>
      <c r="I39" s="10">
        <f t="shared" si="4"/>
        <v>45</v>
      </c>
      <c r="J39" s="10">
        <f t="shared" si="4"/>
        <v>43</v>
      </c>
      <c r="K39" s="10">
        <f t="shared" si="4"/>
        <v>40</v>
      </c>
      <c r="L39" s="10">
        <f t="shared" si="4"/>
        <v>37</v>
      </c>
      <c r="M39" s="10">
        <f t="shared" si="4"/>
        <v>36</v>
      </c>
      <c r="N39" s="10">
        <f t="shared" si="4"/>
        <v>32</v>
      </c>
      <c r="O39" s="10">
        <f t="shared" si="4"/>
        <v>26</v>
      </c>
      <c r="P39" s="10">
        <f t="shared" si="4"/>
        <v>24</v>
      </c>
      <c r="Q39" s="10">
        <f t="shared" si="4"/>
        <v>23</v>
      </c>
      <c r="R39" s="10">
        <f t="shared" si="4"/>
        <v>22</v>
      </c>
      <c r="S39" s="10">
        <f t="shared" si="4"/>
        <v>16</v>
      </c>
      <c r="T39" s="10">
        <f t="shared" si="4"/>
        <v>9</v>
      </c>
      <c r="U39" s="10">
        <f t="shared" si="4"/>
        <v>4</v>
      </c>
      <c r="V39" s="10">
        <f t="shared" si="4"/>
        <v>2</v>
      </c>
      <c r="W39" s="21"/>
      <c r="X39" s="9"/>
    </row>
    <row r="40" spans="1:24" ht="15.75" customHeight="1" thickBot="1" x14ac:dyDescent="0.3">
      <c r="B40" s="22" t="s">
        <v>94</v>
      </c>
      <c r="C40" s="23">
        <f>SUM(C4:C38)</f>
        <v>55</v>
      </c>
      <c r="D40" s="23">
        <f>C40-(SUM($C$4:$C$38)/20)</f>
        <v>52.25</v>
      </c>
      <c r="E40" s="23">
        <f t="shared" ref="E40:V40" si="5">D40-(SUM($C$4:$C$38)/20)</f>
        <v>49.5</v>
      </c>
      <c r="F40" s="23">
        <f t="shared" si="5"/>
        <v>46.75</v>
      </c>
      <c r="G40" s="23">
        <f t="shared" si="5"/>
        <v>44</v>
      </c>
      <c r="H40" s="23">
        <f t="shared" si="5"/>
        <v>41.25</v>
      </c>
      <c r="I40" s="23">
        <f t="shared" si="5"/>
        <v>38.5</v>
      </c>
      <c r="J40" s="23">
        <f t="shared" si="5"/>
        <v>35.75</v>
      </c>
      <c r="K40" s="23">
        <f t="shared" si="5"/>
        <v>33</v>
      </c>
      <c r="L40" s="23">
        <f t="shared" si="5"/>
        <v>30.25</v>
      </c>
      <c r="M40" s="23">
        <f t="shared" si="5"/>
        <v>27.5</v>
      </c>
      <c r="N40" s="23">
        <f t="shared" si="5"/>
        <v>24.75</v>
      </c>
      <c r="O40" s="23">
        <f t="shared" si="5"/>
        <v>22</v>
      </c>
      <c r="P40" s="23">
        <f t="shared" si="5"/>
        <v>19.25</v>
      </c>
      <c r="Q40" s="23">
        <f t="shared" si="5"/>
        <v>16.5</v>
      </c>
      <c r="R40" s="23">
        <f t="shared" si="5"/>
        <v>13.75</v>
      </c>
      <c r="S40" s="23">
        <f t="shared" si="5"/>
        <v>11</v>
      </c>
      <c r="T40" s="23">
        <f t="shared" si="5"/>
        <v>8.25</v>
      </c>
      <c r="U40" s="23">
        <f t="shared" si="5"/>
        <v>5.5</v>
      </c>
      <c r="V40" s="23">
        <f t="shared" si="5"/>
        <v>2.75</v>
      </c>
      <c r="W40" s="24"/>
      <c r="X40" s="9"/>
    </row>
    <row r="41" spans="1:24" ht="15.75" customHeight="1" x14ac:dyDescent="0.25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1:24" ht="15.75" customHeight="1" x14ac:dyDescent="0.25"/>
    <row r="43" spans="1:24" ht="15.75" customHeight="1" x14ac:dyDescent="0.25"/>
    <row r="44" spans="1:24" ht="15.75" customHeight="1" x14ac:dyDescent="0.25"/>
    <row r="45" spans="1:24" ht="15.75" customHeight="1" x14ac:dyDescent="0.25"/>
    <row r="46" spans="1:24" ht="15.75" customHeight="1" x14ac:dyDescent="0.25"/>
    <row r="47" spans="1:24" ht="15.75" customHeight="1" x14ac:dyDescent="0.25"/>
    <row r="48" spans="1:24" ht="15.75" customHeight="1" x14ac:dyDescent="0.25">
      <c r="A48" s="2"/>
    </row>
    <row r="49" spans="1:1" ht="15.75" customHeight="1" x14ac:dyDescent="0.25">
      <c r="A49" s="2"/>
    </row>
    <row r="50" spans="1:1" ht="15.75" customHeight="1" x14ac:dyDescent="0.25"/>
    <row r="51" spans="1:1" ht="15.75" customHeight="1" x14ac:dyDescent="0.25"/>
    <row r="52" spans="1:1" ht="15.75" customHeight="1" x14ac:dyDescent="0.25"/>
    <row r="53" spans="1:1" ht="15.75" customHeight="1" x14ac:dyDescent="0.25"/>
    <row r="54" spans="1:1" ht="15.75" customHeight="1" x14ac:dyDescent="0.25"/>
    <row r="55" spans="1:1" ht="15.75" customHeight="1" x14ac:dyDescent="0.25"/>
    <row r="56" spans="1:1" ht="15.75" customHeight="1" x14ac:dyDescent="0.25"/>
    <row r="57" spans="1:1" ht="15.75" customHeight="1" x14ac:dyDescent="0.25"/>
    <row r="58" spans="1:1" ht="15.75" customHeight="1" x14ac:dyDescent="0.25"/>
    <row r="59" spans="1:1" ht="15.75" customHeight="1" x14ac:dyDescent="0.25"/>
    <row r="60" spans="1:1" ht="15.75" customHeight="1" x14ac:dyDescent="0.25"/>
    <row r="61" spans="1:1" ht="15.75" customHeight="1" x14ac:dyDescent="0.25"/>
    <row r="62" spans="1:1" ht="15.75" customHeight="1" x14ac:dyDescent="0.25"/>
    <row r="63" spans="1:1" ht="15.75" customHeight="1" x14ac:dyDescent="0.25"/>
    <row r="64" spans="1:1" ht="15.75" customHeight="1" x14ac:dyDescent="0.25">
      <c r="A64" s="2"/>
    </row>
    <row r="65" spans="1:23" ht="162.6" customHeight="1" x14ac:dyDescent="0.25">
      <c r="A65" s="2"/>
      <c r="B65" s="58"/>
    </row>
    <row r="66" spans="1:23" ht="13.2" x14ac:dyDescent="0.25">
      <c r="A66" s="2"/>
      <c r="B66" s="59"/>
    </row>
    <row r="67" spans="1:23" ht="15.75" customHeight="1" x14ac:dyDescent="0.25"/>
    <row r="68" spans="1:23" ht="15.75" customHeight="1" x14ac:dyDescent="0.25"/>
    <row r="69" spans="1:23" ht="15.75" customHeight="1" x14ac:dyDescent="0.25"/>
    <row r="70" spans="1:23" ht="15.75" customHeight="1" x14ac:dyDescent="0.25"/>
    <row r="71" spans="1:23" ht="15.75" customHeight="1" x14ac:dyDescent="0.25"/>
    <row r="72" spans="1:23" ht="15.75" customHeight="1" x14ac:dyDescent="0.25"/>
    <row r="73" spans="1:23" ht="15.75" customHeight="1" x14ac:dyDescent="0.25"/>
    <row r="74" spans="1:23" ht="15.75" customHeight="1" x14ac:dyDescent="0.25"/>
    <row r="75" spans="1:23" ht="15.75" customHeight="1" x14ac:dyDescent="0.25"/>
    <row r="76" spans="1:23" ht="15.75" customHeight="1" x14ac:dyDescent="0.25"/>
    <row r="77" spans="1:23" ht="126" customHeight="1" x14ac:dyDescent="0.25"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</row>
    <row r="78" spans="1:23" ht="13.2" x14ac:dyDescent="0.25"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</row>
    <row r="79" spans="1:23" ht="15.75" customHeight="1" x14ac:dyDescent="0.25"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</row>
    <row r="80" spans="1:23" ht="15.75" customHeight="1" x14ac:dyDescent="0.25"/>
    <row r="81" spans="2:23" ht="15.75" customHeight="1" x14ac:dyDescent="0.25"/>
    <row r="82" spans="2:23" ht="15.75" customHeight="1" x14ac:dyDescent="0.25">
      <c r="B82" s="58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</row>
    <row r="83" spans="2:23" ht="15.75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</row>
    <row r="84" spans="2:23" ht="15.75" customHeight="1" x14ac:dyDescent="0.25"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</row>
    <row r="85" spans="2:23" ht="15.75" customHeight="1" x14ac:dyDescent="0.25"/>
    <row r="86" spans="2:23" ht="15.75" customHeight="1" x14ac:dyDescent="0.25"/>
    <row r="87" spans="2:23" ht="15.75" customHeight="1" x14ac:dyDescent="0.25"/>
    <row r="88" spans="2:23" ht="15.75" customHeight="1" x14ac:dyDescent="0.25"/>
    <row r="89" spans="2:23" ht="15.75" customHeight="1" x14ac:dyDescent="0.25"/>
    <row r="90" spans="2:23" ht="15.75" customHeight="1" x14ac:dyDescent="0.25"/>
    <row r="91" spans="2:23" ht="15.75" customHeight="1" x14ac:dyDescent="0.25"/>
    <row r="92" spans="2:23" ht="15.75" customHeight="1" x14ac:dyDescent="0.25"/>
    <row r="93" spans="2:23" ht="15.75" customHeight="1" x14ac:dyDescent="0.25"/>
    <row r="94" spans="2:23" ht="15.75" customHeight="1" x14ac:dyDescent="0.25"/>
    <row r="95" spans="2:23" ht="15.75" customHeight="1" x14ac:dyDescent="0.25"/>
    <row r="96" spans="2:23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</sheetData>
  <phoneticPr fontId="4" type="noConversion"/>
  <pageMargins left="0.7" right="0.7" top="0.75" bottom="0.75" header="0" footer="0"/>
  <pageSetup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B39E34F5A9B445B025C05B2A05D030" ma:contentTypeVersion="13" ma:contentTypeDescription="Crear nuevo documento." ma:contentTypeScope="" ma:versionID="3d104e777bff27600c75745aad47d27e">
  <xsd:schema xmlns:xsd="http://www.w3.org/2001/XMLSchema" xmlns:xs="http://www.w3.org/2001/XMLSchema" xmlns:p="http://schemas.microsoft.com/office/2006/metadata/properties" xmlns:ns3="f1f31ffb-9912-4459-99c8-b26e82094b51" xmlns:ns4="ce621958-37b1-43fe-a1f1-1aad67996a88" targetNamespace="http://schemas.microsoft.com/office/2006/metadata/properties" ma:root="true" ma:fieldsID="cf3581354608339ee345d673b4b6aec0" ns3:_="" ns4:_="">
    <xsd:import namespace="f1f31ffb-9912-4459-99c8-b26e82094b51"/>
    <xsd:import namespace="ce621958-37b1-43fe-a1f1-1aad67996a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31ffb-9912-4459-99c8-b26e8209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21958-37b1-43fe-a1f1-1aad67996a8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f31ffb-9912-4459-99c8-b26e82094b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A40288-AE83-4CFD-88FC-2C88A8A97C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31ffb-9912-4459-99c8-b26e82094b51"/>
    <ds:schemaRef ds:uri="ce621958-37b1-43fe-a1f1-1aad67996a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36C482-D3B9-4276-A804-9892CE1C1808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terms/"/>
    <ds:schemaRef ds:uri="f1f31ffb-9912-4459-99c8-b26e82094b51"/>
    <ds:schemaRef ds:uri="http://schemas.openxmlformats.org/package/2006/metadata/core-properties"/>
    <ds:schemaRef ds:uri="ce621958-37b1-43fe-a1f1-1aad67996a88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C3352EB-243F-434C-83F5-25E9136890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sprint0</vt:lpstr>
      <vt:lpstr>burdonchart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</dc:creator>
  <cp:keywords/>
  <dc:description/>
  <cp:lastModifiedBy>DYLAN GABRIEL REINOSO TORRES</cp:lastModifiedBy>
  <cp:revision/>
  <dcterms:created xsi:type="dcterms:W3CDTF">2023-06-05T13:12:31Z</dcterms:created>
  <dcterms:modified xsi:type="dcterms:W3CDTF">2025-08-05T12:40:41Z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0x010100EDB39E34F5A9B445B025C05B2A05D030</vt:lpwstr>
  </property>
</Properties>
</file>